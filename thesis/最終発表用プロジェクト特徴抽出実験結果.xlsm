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908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keyaKurose/Desktop/"/>
    </mc:Choice>
  </mc:AlternateContent>
  <bookViews>
    <workbookView xWindow="0" yWindow="0" windowWidth="28800" windowHeight="18000" tabRatio="500" activeTab="7"/>
  </bookViews>
  <sheets>
    <sheet name="octopubプロジェクト" sheetId="1" r:id="rId1"/>
    <sheet name="ダミーテンプレ" sheetId="2" state="hidden" r:id="rId2"/>
    <sheet name="ダミー2テンプレ" sheetId="3" state="hidden" r:id="rId3"/>
    <sheet name="where2help" sheetId="5" r:id="rId4"/>
    <sheet name="coderdojo.jp" sheetId="8" r:id="rId5"/>
    <sheet name="poly" sheetId="9" r:id="rId6"/>
    <sheet name="hackweek" sheetId="10" r:id="rId7"/>
    <sheet name="yacs" sheetId="7" r:id="rId8"/>
    <sheet name="テンプレ" sheetId="6" r:id="rId9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96" i="10" l="1"/>
  <c r="K96" i="10"/>
  <c r="J97" i="10"/>
  <c r="H96" i="10"/>
  <c r="I96" i="10"/>
  <c r="H97" i="10"/>
  <c r="F96" i="10"/>
  <c r="G96" i="10"/>
  <c r="F97" i="10"/>
  <c r="D96" i="10"/>
  <c r="E96" i="10"/>
  <c r="D97" i="10"/>
  <c r="B96" i="10"/>
  <c r="C96" i="10"/>
  <c r="B97" i="10"/>
  <c r="M96" i="10"/>
  <c r="L96" i="10"/>
  <c r="M95" i="10"/>
  <c r="L95" i="10"/>
  <c r="K95" i="10"/>
  <c r="J95" i="10"/>
  <c r="I95" i="10"/>
  <c r="H95" i="10"/>
  <c r="G95" i="10"/>
  <c r="F95" i="10"/>
  <c r="E95" i="10"/>
  <c r="D95" i="10"/>
  <c r="C95" i="10"/>
  <c r="B95" i="10"/>
  <c r="L92" i="10"/>
  <c r="M92" i="10"/>
  <c r="L93" i="10"/>
  <c r="J92" i="10"/>
  <c r="K92" i="10"/>
  <c r="J93" i="10"/>
  <c r="H92" i="10"/>
  <c r="I92" i="10"/>
  <c r="H93" i="10"/>
  <c r="F92" i="10"/>
  <c r="G92" i="10"/>
  <c r="F93" i="10"/>
  <c r="D92" i="10"/>
  <c r="E92" i="10"/>
  <c r="D93" i="10"/>
  <c r="B92" i="10"/>
  <c r="C92" i="10"/>
  <c r="B93" i="10"/>
  <c r="M90" i="10"/>
  <c r="L90" i="10"/>
  <c r="K90" i="10"/>
  <c r="J90" i="10"/>
  <c r="I90" i="10"/>
  <c r="H90" i="10"/>
  <c r="G90" i="10"/>
  <c r="F90" i="10"/>
  <c r="E90" i="10"/>
  <c r="D90" i="10"/>
  <c r="C90" i="10"/>
  <c r="B90" i="10"/>
  <c r="L42" i="10"/>
  <c r="M42" i="10"/>
  <c r="L43" i="10"/>
  <c r="J42" i="10"/>
  <c r="K42" i="10"/>
  <c r="J43" i="10"/>
  <c r="H42" i="10"/>
  <c r="I42" i="10"/>
  <c r="H43" i="10"/>
  <c r="F42" i="10"/>
  <c r="G42" i="10"/>
  <c r="F43" i="10"/>
  <c r="D42" i="10"/>
  <c r="E42" i="10"/>
  <c r="D43" i="10"/>
  <c r="B42" i="10"/>
  <c r="C42" i="10"/>
  <c r="B43" i="10"/>
  <c r="M40" i="10"/>
  <c r="L40" i="10"/>
  <c r="K40" i="10"/>
  <c r="J40" i="10"/>
  <c r="I40" i="10"/>
  <c r="H40" i="10"/>
  <c r="G40" i="10"/>
  <c r="F40" i="10"/>
  <c r="E40" i="10"/>
  <c r="D40" i="10"/>
  <c r="C40" i="10"/>
  <c r="B40" i="10"/>
  <c r="L18" i="10"/>
  <c r="M18" i="10"/>
  <c r="L19" i="10"/>
  <c r="J18" i="10"/>
  <c r="K18" i="10"/>
  <c r="J19" i="10"/>
  <c r="H18" i="10"/>
  <c r="I18" i="10"/>
  <c r="H19" i="10"/>
  <c r="F18" i="10"/>
  <c r="G18" i="10"/>
  <c r="F19" i="10"/>
  <c r="D18" i="10"/>
  <c r="E18" i="10"/>
  <c r="D19" i="10"/>
  <c r="B18" i="10"/>
  <c r="C18" i="10"/>
  <c r="B19" i="10"/>
  <c r="M16" i="10"/>
  <c r="L16" i="10"/>
  <c r="K16" i="10"/>
  <c r="J16" i="10"/>
  <c r="I16" i="10"/>
  <c r="H16" i="10"/>
  <c r="G16" i="10"/>
  <c r="F16" i="10"/>
  <c r="E16" i="10"/>
  <c r="D16" i="10"/>
  <c r="C16" i="10"/>
  <c r="B16" i="10"/>
  <c r="J57" i="9"/>
  <c r="K57" i="9"/>
  <c r="J58" i="9"/>
  <c r="H57" i="9"/>
  <c r="I57" i="9"/>
  <c r="H58" i="9"/>
  <c r="F57" i="9"/>
  <c r="G57" i="9"/>
  <c r="F58" i="9"/>
  <c r="D57" i="9"/>
  <c r="E57" i="9"/>
  <c r="D58" i="9"/>
  <c r="B57" i="9"/>
  <c r="C57" i="9"/>
  <c r="B58" i="9"/>
  <c r="M57" i="9"/>
  <c r="L57" i="9"/>
  <c r="M56" i="9"/>
  <c r="L56" i="9"/>
  <c r="K56" i="9"/>
  <c r="J56" i="9"/>
  <c r="I56" i="9"/>
  <c r="H56" i="9"/>
  <c r="G56" i="9"/>
  <c r="F56" i="9"/>
  <c r="E56" i="9"/>
  <c r="D56" i="9"/>
  <c r="C56" i="9"/>
  <c r="B56" i="9"/>
  <c r="L53" i="9"/>
  <c r="M53" i="9"/>
  <c r="L54" i="9"/>
  <c r="J53" i="9"/>
  <c r="K53" i="9"/>
  <c r="J54" i="9"/>
  <c r="H53" i="9"/>
  <c r="I53" i="9"/>
  <c r="H54" i="9"/>
  <c r="F53" i="9"/>
  <c r="G53" i="9"/>
  <c r="F54" i="9"/>
  <c r="D53" i="9"/>
  <c r="E53" i="9"/>
  <c r="D54" i="9"/>
  <c r="B53" i="9"/>
  <c r="C53" i="9"/>
  <c r="B54" i="9"/>
  <c r="M51" i="9"/>
  <c r="L51" i="9"/>
  <c r="K51" i="9"/>
  <c r="J51" i="9"/>
  <c r="I51" i="9"/>
  <c r="H51" i="9"/>
  <c r="G51" i="9"/>
  <c r="F51" i="9"/>
  <c r="E51" i="9"/>
  <c r="D51" i="9"/>
  <c r="C51" i="9"/>
  <c r="B51" i="9"/>
  <c r="L29" i="9"/>
  <c r="M29" i="9"/>
  <c r="L30" i="9"/>
  <c r="J29" i="9"/>
  <c r="K29" i="9"/>
  <c r="J30" i="9"/>
  <c r="H29" i="9"/>
  <c r="I29" i="9"/>
  <c r="H30" i="9"/>
  <c r="F29" i="9"/>
  <c r="G29" i="9"/>
  <c r="F30" i="9"/>
  <c r="D29" i="9"/>
  <c r="E29" i="9"/>
  <c r="D30" i="9"/>
  <c r="B29" i="9"/>
  <c r="C29" i="9"/>
  <c r="B30" i="9"/>
  <c r="M27" i="9"/>
  <c r="L27" i="9"/>
  <c r="K27" i="9"/>
  <c r="J27" i="9"/>
  <c r="I27" i="9"/>
  <c r="H27" i="9"/>
  <c r="G27" i="9"/>
  <c r="F27" i="9"/>
  <c r="E27" i="9"/>
  <c r="D27" i="9"/>
  <c r="C27" i="9"/>
  <c r="B27" i="9"/>
  <c r="L18" i="9"/>
  <c r="M18" i="9"/>
  <c r="L19" i="9"/>
  <c r="J18" i="9"/>
  <c r="K18" i="9"/>
  <c r="J19" i="9"/>
  <c r="H18" i="9"/>
  <c r="I18" i="9"/>
  <c r="H19" i="9"/>
  <c r="F18" i="9"/>
  <c r="G18" i="9"/>
  <c r="F19" i="9"/>
  <c r="D18" i="9"/>
  <c r="E18" i="9"/>
  <c r="D19" i="9"/>
  <c r="B18" i="9"/>
  <c r="C18" i="9"/>
  <c r="B19" i="9"/>
  <c r="M16" i="9"/>
  <c r="L16" i="9"/>
  <c r="K16" i="9"/>
  <c r="J16" i="9"/>
  <c r="I16" i="9"/>
  <c r="H16" i="9"/>
  <c r="G16" i="9"/>
  <c r="F16" i="9"/>
  <c r="E16" i="9"/>
  <c r="D16" i="9"/>
  <c r="C16" i="9"/>
  <c r="B16" i="9"/>
  <c r="N48" i="7"/>
  <c r="O48" i="7"/>
  <c r="N49" i="7"/>
  <c r="M48" i="7"/>
  <c r="L48" i="7"/>
  <c r="L49" i="7"/>
  <c r="N42" i="7"/>
  <c r="O42" i="7"/>
  <c r="N44" i="7"/>
  <c r="O44" i="7"/>
  <c r="N45" i="7"/>
  <c r="N47" i="7"/>
  <c r="O47" i="7"/>
  <c r="N22" i="7"/>
  <c r="O22" i="7"/>
  <c r="N24" i="7"/>
  <c r="O24" i="7"/>
  <c r="N25" i="7"/>
  <c r="N11" i="7"/>
  <c r="O11" i="7"/>
  <c r="N13" i="7"/>
  <c r="O13" i="7"/>
  <c r="N14" i="7"/>
  <c r="H88" i="8"/>
  <c r="I88" i="8"/>
  <c r="H89" i="8"/>
  <c r="F88" i="8"/>
  <c r="G88" i="8"/>
  <c r="F89" i="8"/>
  <c r="D88" i="8"/>
  <c r="E88" i="8"/>
  <c r="D89" i="8"/>
  <c r="B88" i="8"/>
  <c r="C88" i="8"/>
  <c r="B89" i="8"/>
  <c r="I87" i="8"/>
  <c r="H87" i="8"/>
  <c r="G87" i="8"/>
  <c r="F87" i="8"/>
  <c r="E87" i="8"/>
  <c r="D87" i="8"/>
  <c r="C87" i="8"/>
  <c r="B87" i="8"/>
  <c r="H84" i="8"/>
  <c r="I84" i="8"/>
  <c r="H85" i="8"/>
  <c r="F84" i="8"/>
  <c r="G84" i="8"/>
  <c r="F85" i="8"/>
  <c r="D84" i="8"/>
  <c r="E84" i="8"/>
  <c r="D85" i="8"/>
  <c r="B84" i="8"/>
  <c r="C84" i="8"/>
  <c r="B85" i="8"/>
  <c r="I82" i="8"/>
  <c r="H82" i="8"/>
  <c r="G82" i="8"/>
  <c r="F82" i="8"/>
  <c r="E82" i="8"/>
  <c r="D82" i="8"/>
  <c r="C82" i="8"/>
  <c r="B82" i="8"/>
  <c r="H40" i="8"/>
  <c r="I40" i="8"/>
  <c r="H41" i="8"/>
  <c r="F40" i="8"/>
  <c r="G40" i="8"/>
  <c r="F41" i="8"/>
  <c r="D40" i="8"/>
  <c r="E40" i="8"/>
  <c r="D41" i="8"/>
  <c r="B40" i="8"/>
  <c r="C40" i="8"/>
  <c r="B41" i="8"/>
  <c r="I38" i="8"/>
  <c r="H38" i="8"/>
  <c r="G38" i="8"/>
  <c r="F38" i="8"/>
  <c r="E38" i="8"/>
  <c r="D38" i="8"/>
  <c r="C38" i="8"/>
  <c r="B38" i="8"/>
  <c r="H14" i="8"/>
  <c r="I14" i="8"/>
  <c r="H15" i="8"/>
  <c r="F14" i="8"/>
  <c r="G14" i="8"/>
  <c r="F15" i="8"/>
  <c r="D14" i="8"/>
  <c r="E14" i="8"/>
  <c r="D15" i="8"/>
  <c r="B14" i="8"/>
  <c r="C14" i="8"/>
  <c r="B15" i="8"/>
  <c r="I12" i="8"/>
  <c r="H12" i="8"/>
  <c r="G12" i="8"/>
  <c r="F12" i="8"/>
  <c r="E12" i="8"/>
  <c r="D12" i="8"/>
  <c r="C12" i="8"/>
  <c r="B12" i="8"/>
  <c r="J48" i="7"/>
  <c r="K48" i="7"/>
  <c r="J49" i="7"/>
  <c r="H48" i="7"/>
  <c r="I48" i="7"/>
  <c r="H49" i="7"/>
  <c r="F48" i="7"/>
  <c r="G48" i="7"/>
  <c r="F49" i="7"/>
  <c r="D48" i="7"/>
  <c r="E48" i="7"/>
  <c r="D49" i="7"/>
  <c r="B48" i="7"/>
  <c r="C48" i="7"/>
  <c r="B49" i="7"/>
  <c r="M47" i="7"/>
  <c r="L47" i="7"/>
  <c r="K47" i="7"/>
  <c r="J47" i="7"/>
  <c r="I47" i="7"/>
  <c r="H47" i="7"/>
  <c r="G47" i="7"/>
  <c r="F47" i="7"/>
  <c r="E47" i="7"/>
  <c r="D47" i="7"/>
  <c r="C47" i="7"/>
  <c r="B47" i="7"/>
  <c r="L44" i="7"/>
  <c r="M44" i="7"/>
  <c r="L45" i="7"/>
  <c r="J44" i="7"/>
  <c r="K44" i="7"/>
  <c r="J45" i="7"/>
  <c r="H44" i="7"/>
  <c r="I44" i="7"/>
  <c r="H45" i="7"/>
  <c r="F44" i="7"/>
  <c r="G44" i="7"/>
  <c r="F45" i="7"/>
  <c r="D44" i="7"/>
  <c r="E44" i="7"/>
  <c r="D45" i="7"/>
  <c r="B44" i="7"/>
  <c r="C44" i="7"/>
  <c r="B45" i="7"/>
  <c r="M42" i="7"/>
  <c r="L42" i="7"/>
  <c r="K42" i="7"/>
  <c r="J42" i="7"/>
  <c r="I42" i="7"/>
  <c r="H42" i="7"/>
  <c r="G42" i="7"/>
  <c r="F42" i="7"/>
  <c r="E42" i="7"/>
  <c r="D42" i="7"/>
  <c r="C42" i="7"/>
  <c r="B42" i="7"/>
  <c r="L24" i="7"/>
  <c r="M24" i="7"/>
  <c r="L25" i="7"/>
  <c r="J24" i="7"/>
  <c r="K24" i="7"/>
  <c r="J25" i="7"/>
  <c r="H24" i="7"/>
  <c r="I24" i="7"/>
  <c r="H25" i="7"/>
  <c r="F24" i="7"/>
  <c r="G24" i="7"/>
  <c r="F25" i="7"/>
  <c r="D24" i="7"/>
  <c r="E24" i="7"/>
  <c r="D25" i="7"/>
  <c r="B24" i="7"/>
  <c r="C24" i="7"/>
  <c r="B25" i="7"/>
  <c r="M22" i="7"/>
  <c r="L22" i="7"/>
  <c r="K22" i="7"/>
  <c r="J22" i="7"/>
  <c r="I22" i="7"/>
  <c r="H22" i="7"/>
  <c r="G22" i="7"/>
  <c r="F22" i="7"/>
  <c r="E22" i="7"/>
  <c r="D22" i="7"/>
  <c r="C22" i="7"/>
  <c r="B22" i="7"/>
  <c r="L13" i="7"/>
  <c r="M13" i="7"/>
  <c r="L14" i="7"/>
  <c r="J13" i="7"/>
  <c r="K13" i="7"/>
  <c r="J14" i="7"/>
  <c r="H13" i="7"/>
  <c r="I13" i="7"/>
  <c r="H14" i="7"/>
  <c r="F13" i="7"/>
  <c r="G13" i="7"/>
  <c r="F14" i="7"/>
  <c r="D13" i="7"/>
  <c r="E13" i="7"/>
  <c r="D14" i="7"/>
  <c r="B13" i="7"/>
  <c r="C13" i="7"/>
  <c r="B14" i="7"/>
  <c r="M11" i="7"/>
  <c r="L11" i="7"/>
  <c r="K11" i="7"/>
  <c r="J11" i="7"/>
  <c r="I11" i="7"/>
  <c r="H11" i="7"/>
  <c r="G11" i="7"/>
  <c r="F11" i="7"/>
  <c r="E11" i="7"/>
  <c r="D11" i="7"/>
  <c r="C11" i="7"/>
  <c r="B11" i="7"/>
  <c r="L114" i="3"/>
  <c r="L108" i="5"/>
  <c r="M108" i="5"/>
  <c r="L109" i="5"/>
  <c r="D104" i="5"/>
  <c r="E104" i="5"/>
  <c r="D105" i="5"/>
  <c r="F104" i="5"/>
  <c r="G104" i="5"/>
  <c r="F105" i="5"/>
  <c r="H104" i="5"/>
  <c r="I104" i="5"/>
  <c r="H105" i="5"/>
  <c r="J104" i="5"/>
  <c r="K104" i="5"/>
  <c r="J105" i="5"/>
  <c r="L104" i="5"/>
  <c r="M104" i="5"/>
  <c r="L105" i="5"/>
  <c r="J113" i="6"/>
  <c r="K113" i="6"/>
  <c r="J114" i="6"/>
  <c r="H113" i="6"/>
  <c r="I113" i="6"/>
  <c r="H114" i="6"/>
  <c r="F113" i="6"/>
  <c r="G113" i="6"/>
  <c r="F114" i="6"/>
  <c r="D113" i="6"/>
  <c r="E113" i="6"/>
  <c r="D114" i="6"/>
  <c r="B113" i="6"/>
  <c r="C113" i="6"/>
  <c r="B114" i="6"/>
  <c r="M113" i="6"/>
  <c r="L113" i="6"/>
  <c r="M112" i="6"/>
  <c r="L112" i="6"/>
  <c r="K112" i="6"/>
  <c r="J112" i="6"/>
  <c r="I112" i="6"/>
  <c r="H112" i="6"/>
  <c r="G112" i="6"/>
  <c r="F112" i="6"/>
  <c r="E112" i="6"/>
  <c r="D112" i="6"/>
  <c r="C112" i="6"/>
  <c r="B112" i="6"/>
  <c r="L109" i="6"/>
  <c r="M109" i="6"/>
  <c r="L110" i="6"/>
  <c r="J109" i="6"/>
  <c r="K109" i="6"/>
  <c r="J110" i="6"/>
  <c r="H109" i="6"/>
  <c r="I109" i="6"/>
  <c r="H110" i="6"/>
  <c r="F109" i="6"/>
  <c r="G109" i="6"/>
  <c r="F110" i="6"/>
  <c r="D109" i="6"/>
  <c r="E109" i="6"/>
  <c r="D110" i="6"/>
  <c r="B109" i="6"/>
  <c r="C109" i="6"/>
  <c r="B110" i="6"/>
  <c r="M107" i="6"/>
  <c r="L107" i="6"/>
  <c r="K107" i="6"/>
  <c r="J107" i="6"/>
  <c r="I107" i="6"/>
  <c r="H107" i="6"/>
  <c r="G107" i="6"/>
  <c r="F107" i="6"/>
  <c r="E107" i="6"/>
  <c r="D107" i="6"/>
  <c r="C107" i="6"/>
  <c r="B107" i="6"/>
  <c r="L56" i="6"/>
  <c r="M56" i="6"/>
  <c r="L57" i="6"/>
  <c r="J56" i="6"/>
  <c r="K56" i="6"/>
  <c r="J57" i="6"/>
  <c r="H56" i="6"/>
  <c r="I56" i="6"/>
  <c r="H57" i="6"/>
  <c r="F56" i="6"/>
  <c r="G56" i="6"/>
  <c r="F57" i="6"/>
  <c r="D56" i="6"/>
  <c r="E56" i="6"/>
  <c r="D57" i="6"/>
  <c r="B56" i="6"/>
  <c r="C56" i="6"/>
  <c r="B57" i="6"/>
  <c r="M54" i="6"/>
  <c r="L54" i="6"/>
  <c r="K54" i="6"/>
  <c r="J54" i="6"/>
  <c r="I54" i="6"/>
  <c r="H54" i="6"/>
  <c r="G54" i="6"/>
  <c r="F54" i="6"/>
  <c r="E54" i="6"/>
  <c r="D54" i="6"/>
  <c r="C54" i="6"/>
  <c r="B54" i="6"/>
  <c r="L28" i="6"/>
  <c r="M28" i="6"/>
  <c r="L29" i="6"/>
  <c r="J28" i="6"/>
  <c r="K28" i="6"/>
  <c r="J29" i="6"/>
  <c r="H28" i="6"/>
  <c r="I28" i="6"/>
  <c r="H29" i="6"/>
  <c r="F28" i="6"/>
  <c r="G28" i="6"/>
  <c r="F29" i="6"/>
  <c r="D28" i="6"/>
  <c r="E28" i="6"/>
  <c r="D29" i="6"/>
  <c r="B28" i="6"/>
  <c r="C28" i="6"/>
  <c r="B29" i="6"/>
  <c r="M26" i="6"/>
  <c r="L26" i="6"/>
  <c r="K26" i="6"/>
  <c r="J26" i="6"/>
  <c r="I26" i="6"/>
  <c r="H26" i="6"/>
  <c r="G26" i="6"/>
  <c r="F26" i="6"/>
  <c r="E26" i="6"/>
  <c r="D26" i="6"/>
  <c r="C26" i="6"/>
  <c r="B26" i="6"/>
  <c r="J108" i="5"/>
  <c r="K108" i="5"/>
  <c r="J109" i="5"/>
  <c r="H108" i="5"/>
  <c r="I108" i="5"/>
  <c r="H109" i="5"/>
  <c r="F108" i="5"/>
  <c r="G108" i="5"/>
  <c r="F109" i="5"/>
  <c r="D108" i="5"/>
  <c r="E108" i="5"/>
  <c r="D109" i="5"/>
  <c r="B108" i="5"/>
  <c r="C108" i="5"/>
  <c r="B109" i="5"/>
  <c r="M107" i="5"/>
  <c r="L107" i="5"/>
  <c r="K107" i="5"/>
  <c r="J107" i="5"/>
  <c r="I107" i="5"/>
  <c r="H107" i="5"/>
  <c r="G107" i="5"/>
  <c r="F107" i="5"/>
  <c r="E107" i="5"/>
  <c r="D107" i="5"/>
  <c r="C107" i="5"/>
  <c r="B107" i="5"/>
  <c r="B104" i="5"/>
  <c r="C104" i="5"/>
  <c r="B105" i="5"/>
  <c r="M102" i="5"/>
  <c r="L102" i="5"/>
  <c r="K102" i="5"/>
  <c r="J102" i="5"/>
  <c r="I102" i="5"/>
  <c r="H102" i="5"/>
  <c r="G102" i="5"/>
  <c r="F102" i="5"/>
  <c r="E102" i="5"/>
  <c r="D102" i="5"/>
  <c r="C102" i="5"/>
  <c r="B102" i="5"/>
  <c r="L52" i="5"/>
  <c r="M52" i="5"/>
  <c r="L53" i="5"/>
  <c r="J52" i="5"/>
  <c r="K52" i="5"/>
  <c r="J53" i="5"/>
  <c r="H52" i="5"/>
  <c r="I52" i="5"/>
  <c r="H53" i="5"/>
  <c r="F52" i="5"/>
  <c r="G52" i="5"/>
  <c r="F53" i="5"/>
  <c r="D52" i="5"/>
  <c r="E52" i="5"/>
  <c r="D53" i="5"/>
  <c r="B52" i="5"/>
  <c r="C52" i="5"/>
  <c r="B53" i="5"/>
  <c r="M50" i="5"/>
  <c r="L50" i="5"/>
  <c r="K50" i="5"/>
  <c r="J50" i="5"/>
  <c r="I50" i="5"/>
  <c r="H50" i="5"/>
  <c r="G50" i="5"/>
  <c r="F50" i="5"/>
  <c r="E50" i="5"/>
  <c r="D50" i="5"/>
  <c r="C50" i="5"/>
  <c r="B50" i="5"/>
  <c r="L30" i="5"/>
  <c r="M30" i="5"/>
  <c r="L31" i="5"/>
  <c r="J30" i="5"/>
  <c r="K30" i="5"/>
  <c r="J31" i="5"/>
  <c r="H30" i="5"/>
  <c r="I30" i="5"/>
  <c r="H31" i="5"/>
  <c r="F30" i="5"/>
  <c r="G30" i="5"/>
  <c r="F31" i="5"/>
  <c r="D30" i="5"/>
  <c r="E30" i="5"/>
  <c r="D31" i="5"/>
  <c r="B30" i="5"/>
  <c r="C30" i="5"/>
  <c r="B31" i="5"/>
  <c r="M28" i="5"/>
  <c r="L28" i="5"/>
  <c r="K28" i="5"/>
  <c r="J28" i="5"/>
  <c r="I28" i="5"/>
  <c r="H28" i="5"/>
  <c r="G28" i="5"/>
  <c r="F28" i="5"/>
  <c r="E28" i="5"/>
  <c r="D28" i="5"/>
  <c r="C28" i="5"/>
  <c r="B28" i="5"/>
  <c r="J113" i="3"/>
  <c r="K113" i="3"/>
  <c r="J114" i="3"/>
  <c r="H113" i="3"/>
  <c r="I113" i="3"/>
  <c r="H114" i="3"/>
  <c r="F113" i="3"/>
  <c r="G113" i="3"/>
  <c r="F114" i="3"/>
  <c r="D113" i="3"/>
  <c r="E113" i="3"/>
  <c r="D114" i="3"/>
  <c r="B113" i="3"/>
  <c r="C113" i="3"/>
  <c r="B114" i="3"/>
  <c r="M113" i="3"/>
  <c r="L113" i="3"/>
  <c r="M112" i="3"/>
  <c r="L112" i="3"/>
  <c r="K112" i="3"/>
  <c r="J112" i="3"/>
  <c r="I112" i="3"/>
  <c r="H112" i="3"/>
  <c r="G112" i="3"/>
  <c r="F112" i="3"/>
  <c r="E112" i="3"/>
  <c r="D112" i="3"/>
  <c r="C112" i="3"/>
  <c r="B112" i="3"/>
  <c r="L109" i="3"/>
  <c r="M109" i="3"/>
  <c r="L110" i="3"/>
  <c r="J109" i="3"/>
  <c r="K109" i="3"/>
  <c r="J110" i="3"/>
  <c r="H109" i="3"/>
  <c r="I109" i="3"/>
  <c r="H110" i="3"/>
  <c r="F109" i="3"/>
  <c r="G109" i="3"/>
  <c r="F110" i="3"/>
  <c r="D109" i="3"/>
  <c r="E109" i="3"/>
  <c r="D110" i="3"/>
  <c r="B109" i="3"/>
  <c r="C109" i="3"/>
  <c r="B110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L56" i="3"/>
  <c r="M56" i="3"/>
  <c r="L57" i="3"/>
  <c r="J56" i="3"/>
  <c r="K56" i="3"/>
  <c r="J57" i="3"/>
  <c r="H56" i="3"/>
  <c r="I56" i="3"/>
  <c r="H57" i="3"/>
  <c r="F56" i="3"/>
  <c r="G56" i="3"/>
  <c r="F57" i="3"/>
  <c r="D56" i="3"/>
  <c r="E56" i="3"/>
  <c r="D57" i="3"/>
  <c r="B56" i="3"/>
  <c r="C56" i="3"/>
  <c r="B57" i="3"/>
  <c r="M54" i="3"/>
  <c r="L54" i="3"/>
  <c r="K54" i="3"/>
  <c r="J54" i="3"/>
  <c r="I54" i="3"/>
  <c r="H54" i="3"/>
  <c r="G54" i="3"/>
  <c r="F54" i="3"/>
  <c r="E54" i="3"/>
  <c r="D54" i="3"/>
  <c r="C54" i="3"/>
  <c r="B54" i="3"/>
  <c r="L28" i="3"/>
  <c r="M28" i="3"/>
  <c r="L29" i="3"/>
  <c r="J28" i="3"/>
  <c r="K28" i="3"/>
  <c r="J29" i="3"/>
  <c r="H28" i="3"/>
  <c r="I28" i="3"/>
  <c r="H29" i="3"/>
  <c r="F28" i="3"/>
  <c r="G28" i="3"/>
  <c r="F29" i="3"/>
  <c r="D28" i="3"/>
  <c r="E28" i="3"/>
  <c r="D29" i="3"/>
  <c r="B28" i="3"/>
  <c r="C28" i="3"/>
  <c r="B29" i="3"/>
  <c r="M26" i="3"/>
  <c r="L26" i="3"/>
  <c r="K26" i="3"/>
  <c r="J26" i="3"/>
  <c r="I26" i="3"/>
  <c r="H26" i="3"/>
  <c r="G26" i="3"/>
  <c r="F26" i="3"/>
  <c r="E26" i="3"/>
  <c r="D26" i="3"/>
  <c r="C26" i="3"/>
  <c r="B26" i="3"/>
  <c r="B37" i="1"/>
  <c r="C37" i="1"/>
  <c r="D37" i="1"/>
  <c r="E37" i="1"/>
  <c r="F37" i="1"/>
  <c r="G37" i="1"/>
  <c r="H37" i="1"/>
  <c r="I37" i="1"/>
  <c r="J37" i="1"/>
  <c r="K37" i="1"/>
  <c r="L37" i="1"/>
  <c r="M37" i="1"/>
  <c r="B39" i="1"/>
  <c r="C39" i="1"/>
  <c r="D39" i="1"/>
  <c r="E39" i="1"/>
  <c r="F39" i="1"/>
  <c r="G39" i="1"/>
  <c r="H39" i="1"/>
  <c r="I39" i="1"/>
  <c r="J39" i="1"/>
  <c r="K39" i="1"/>
  <c r="L39" i="1"/>
  <c r="M39" i="1"/>
  <c r="B40" i="1"/>
  <c r="D40" i="1"/>
  <c r="F40" i="1"/>
  <c r="H40" i="1"/>
  <c r="J40" i="1"/>
  <c r="L40" i="1"/>
  <c r="B57" i="1"/>
  <c r="C57" i="1"/>
  <c r="D57" i="1"/>
  <c r="E57" i="1"/>
  <c r="F57" i="1"/>
  <c r="G57" i="1"/>
  <c r="H57" i="1"/>
  <c r="I57" i="1"/>
  <c r="J57" i="1"/>
  <c r="K57" i="1"/>
  <c r="L57" i="1"/>
  <c r="M57" i="1"/>
  <c r="B59" i="1"/>
  <c r="C59" i="1"/>
  <c r="D59" i="1"/>
  <c r="E59" i="1"/>
  <c r="F59" i="1"/>
  <c r="G59" i="1"/>
  <c r="H59" i="1"/>
  <c r="I59" i="1"/>
  <c r="J59" i="1"/>
  <c r="K59" i="1"/>
  <c r="L59" i="1"/>
  <c r="M59" i="1"/>
  <c r="B60" i="1"/>
  <c r="D60" i="1"/>
  <c r="F60" i="1"/>
  <c r="H60" i="1"/>
  <c r="J60" i="1"/>
  <c r="L60" i="1"/>
  <c r="B110" i="1"/>
  <c r="C110" i="1"/>
  <c r="D110" i="1"/>
  <c r="E110" i="1"/>
  <c r="F110" i="1"/>
  <c r="G110" i="1"/>
  <c r="H110" i="1"/>
  <c r="I110" i="1"/>
  <c r="J110" i="1"/>
  <c r="K110" i="1"/>
  <c r="L110" i="1"/>
  <c r="M110" i="1"/>
  <c r="B112" i="1"/>
  <c r="C112" i="1"/>
  <c r="D112" i="1"/>
  <c r="E112" i="1"/>
  <c r="F112" i="1"/>
  <c r="G112" i="1"/>
  <c r="H112" i="1"/>
  <c r="I112" i="1"/>
  <c r="J112" i="1"/>
  <c r="K112" i="1"/>
  <c r="L112" i="1"/>
  <c r="M112" i="1"/>
  <c r="B113" i="1"/>
  <c r="D113" i="1"/>
  <c r="F113" i="1"/>
  <c r="H113" i="1"/>
  <c r="J113" i="1"/>
  <c r="L113" i="1"/>
  <c r="B115" i="1"/>
  <c r="C115" i="1"/>
  <c r="D115" i="1"/>
  <c r="E115" i="1"/>
  <c r="F115" i="1"/>
  <c r="G115" i="1"/>
  <c r="H115" i="1"/>
  <c r="I115" i="1"/>
  <c r="J115" i="1"/>
  <c r="K115" i="1"/>
  <c r="L115" i="1"/>
  <c r="M115" i="1"/>
  <c r="B116" i="1"/>
  <c r="C116" i="1"/>
  <c r="D116" i="1"/>
  <c r="E116" i="1"/>
  <c r="F116" i="1"/>
  <c r="G116" i="1"/>
  <c r="H116" i="1"/>
  <c r="I116" i="1"/>
  <c r="J116" i="1"/>
  <c r="K116" i="1"/>
  <c r="L116" i="1"/>
  <c r="M116" i="1"/>
  <c r="B117" i="1"/>
  <c r="D117" i="1"/>
  <c r="F117" i="1"/>
  <c r="H117" i="1"/>
  <c r="J117" i="1"/>
  <c r="L18" i="2"/>
  <c r="M18" i="2"/>
  <c r="L19" i="2"/>
  <c r="J18" i="2"/>
  <c r="K18" i="2"/>
  <c r="J19" i="2"/>
  <c r="H18" i="2"/>
  <c r="I18" i="2"/>
  <c r="H19" i="2"/>
  <c r="F18" i="2"/>
  <c r="G18" i="2"/>
  <c r="F19" i="2"/>
  <c r="D18" i="2"/>
  <c r="E18" i="2"/>
  <c r="D19" i="2"/>
  <c r="B18" i="2"/>
  <c r="C18" i="2"/>
  <c r="B19" i="2"/>
  <c r="M16" i="2"/>
  <c r="L16" i="2"/>
  <c r="K16" i="2"/>
  <c r="J16" i="2"/>
  <c r="I16" i="2"/>
  <c r="H16" i="2"/>
  <c r="G16" i="2"/>
  <c r="F16" i="2"/>
  <c r="E16" i="2"/>
  <c r="D16" i="2"/>
  <c r="C16" i="2"/>
  <c r="B16" i="2"/>
  <c r="M19" i="1"/>
  <c r="L19" i="1"/>
  <c r="K19" i="1"/>
  <c r="J19" i="1"/>
  <c r="I19" i="1"/>
  <c r="H19" i="1"/>
  <c r="G19" i="1"/>
  <c r="F19" i="1"/>
  <c r="E19" i="1"/>
  <c r="D19" i="1"/>
  <c r="C19" i="1"/>
  <c r="B19" i="1"/>
</calcChain>
</file>

<file path=xl/sharedStrings.xml><?xml version="1.0" encoding="utf-8"?>
<sst xmlns="http://schemas.openxmlformats.org/spreadsheetml/2006/main" count="1017" uniqueCount="403">
  <si>
    <t>プロジェクト名</t>
    <phoneticPr fontId="2"/>
  </si>
  <si>
    <t>url</t>
    <phoneticPr fontId="2"/>
  </si>
  <si>
    <t>theodi/octopub</t>
    <phoneticPr fontId="2"/>
  </si>
  <si>
    <t>controllers</t>
    <phoneticPr fontId="2"/>
  </si>
  <si>
    <t>ファイル名</t>
  </si>
  <si>
    <t>ファイル名</t>
    <phoneticPr fontId="2"/>
  </si>
  <si>
    <t>james</t>
  </si>
  <si>
    <t>james</t>
    <phoneticPr fontId="2"/>
  </si>
  <si>
    <t>pezholio</t>
  </si>
  <si>
    <t>pezholio</t>
    <phoneticPr fontId="2"/>
  </si>
  <si>
    <t>Floppy</t>
  </si>
  <si>
    <t>Floppy</t>
    <phoneticPr fontId="2"/>
  </si>
  <si>
    <t>ユーザ名(ファイル作成数：ファイル修正数)</t>
  </si>
  <si>
    <t>ユーザ名(ファイル作成数：ファイル修正数)</t>
    <rPh sb="9" eb="11">
      <t>サクセイ</t>
    </rPh>
    <rPh sb="11" eb="12">
      <t>スウ</t>
    </rPh>
    <phoneticPr fontId="2"/>
  </si>
  <si>
    <t>quadrophobiac</t>
  </si>
  <si>
    <t>quadrophobiac</t>
    <phoneticPr fontId="2"/>
  </si>
  <si>
    <t>pikesley</t>
  </si>
  <si>
    <t>pikesley</t>
    <phoneticPr fontId="2"/>
  </si>
  <si>
    <t>odi-robot</t>
  </si>
  <si>
    <t>odi-robot</t>
    <phoneticPr fontId="2"/>
  </si>
  <si>
    <t>allocated_dataset_file_schema_datasets_controller.rb</t>
  </si>
  <si>
    <t>application_controller.rb</t>
  </si>
  <si>
    <t>dataset_file_schemas_controller.rb</t>
  </si>
  <si>
    <t>dataset_files_controller.rb</t>
  </si>
  <si>
    <t>datasets_controller.rb</t>
  </si>
  <si>
    <t>inferred_dataset_file_schemas_controller.rb</t>
  </si>
  <si>
    <t>output_schemas_controller.rb</t>
  </si>
  <si>
    <t>restricted_users_controller.rb</t>
  </si>
  <si>
    <t>schema_categories_controller.rb</t>
  </si>
  <si>
    <t>sessions_controller.rb</t>
  </si>
  <si>
    <t>users_controller.rb</t>
  </si>
  <si>
    <t>https://github.com/theodi/octopub</t>
    <phoneticPr fontId="2"/>
  </si>
  <si>
    <t>合計</t>
  </si>
  <si>
    <t>合計</t>
    <rPh sb="0" eb="2">
      <t>ゴウケイ</t>
    </rPh>
    <phoneticPr fontId="2"/>
  </si>
  <si>
    <t>作成</t>
  </si>
  <si>
    <t>作成</t>
    <rPh sb="0" eb="2">
      <t>サクセイ</t>
    </rPh>
    <phoneticPr fontId="2"/>
  </si>
  <si>
    <t>修正</t>
  </si>
  <si>
    <t>修正</t>
    <rPh sb="0" eb="2">
      <t>シュウセイ</t>
    </rPh>
    <phoneticPr fontId="2"/>
  </si>
  <si>
    <t>concerns/file_handling_for_datasets.rb</t>
    <phoneticPr fontId="2"/>
  </si>
  <si>
    <t>grape_swagger_rails/application_controller.rb</t>
    <phoneticPr fontId="2"/>
  </si>
  <si>
    <t>ユーザ名(ファイル作成回数：ファイル修正回数)</t>
    <rPh sb="9" eb="11">
      <t>サクセイ</t>
    </rPh>
    <rPh sb="12" eb="13">
      <t>スウ</t>
    </rPh>
    <phoneticPr fontId="2"/>
  </si>
  <si>
    <t>平均</t>
  </si>
  <si>
    <t>平均</t>
    <rPh sb="0" eb="2">
      <t>ヘイキn</t>
    </rPh>
    <phoneticPr fontId="2"/>
  </si>
  <si>
    <t>作成＋修正</t>
  </si>
  <si>
    <t>作成＋修正</t>
    <rPh sb="0" eb="2">
      <t>サクセイ</t>
    </rPh>
    <rPh sb="3" eb="5">
      <t>シュウセイ</t>
    </rPh>
    <phoneticPr fontId="2"/>
  </si>
  <si>
    <t>model</t>
    <phoneticPr fontId="2"/>
  </si>
  <si>
    <t>ability.rb</t>
    <phoneticPr fontId="2"/>
  </si>
  <si>
    <t>application_record.rb</t>
    <phoneticPr fontId="2"/>
  </si>
  <si>
    <t>dataset.rb</t>
    <phoneticPr fontId="2"/>
  </si>
  <si>
    <t>dataset_file.rb</t>
    <phoneticPr fontId="2"/>
  </si>
  <si>
    <t>error.rb</t>
    <phoneticPr fontId="2"/>
  </si>
  <si>
    <t>inferred_dataset_file_schema.rb</t>
    <phoneticPr fontId="2"/>
  </si>
  <si>
    <t>output_schema.rb</t>
    <phoneticPr fontId="2"/>
  </si>
  <si>
    <t>output_schema_field.rb</t>
    <phoneticPr fontId="2"/>
  </si>
  <si>
    <t>schema_category.rb</t>
    <phoneticPr fontId="2"/>
  </si>
  <si>
    <t>schema_constraint.rb</t>
    <phoneticPr fontId="2"/>
  </si>
  <si>
    <t>schema_field.rb</t>
    <phoneticPr fontId="2"/>
  </si>
  <si>
    <t>user.rb</t>
    <phoneticPr fontId="2"/>
  </si>
  <si>
    <t>dataset_file_schema.rb</t>
    <phoneticPr fontId="2"/>
  </si>
  <si>
    <t>datasets_controller.rb</t>
    <phoneticPr fontId="2"/>
  </si>
  <si>
    <t>views</t>
    <phoneticPr fontId="2"/>
  </si>
  <si>
    <t>models</t>
    <phoneticPr fontId="2"/>
  </si>
  <si>
    <t>aloocated…/new_file_form_html.erb</t>
    <phoneticPr fontId="2"/>
  </si>
  <si>
    <t>aloocated…/new_file_html.erb</t>
    <phoneticPr fontId="2"/>
  </si>
  <si>
    <t>aloocated…/new.html.erb</t>
    <phoneticPr fontId="2"/>
  </si>
  <si>
    <t>application/403.html</t>
    <phoneticPr fontId="2"/>
  </si>
  <si>
    <t>application/403_premissions..html</t>
    <phoneticPr fontId="2"/>
  </si>
  <si>
    <t>application/getting-started.html</t>
    <phoneticPr fontId="2"/>
  </si>
  <si>
    <t>application/index.html</t>
    <phoneticPr fontId="2"/>
  </si>
  <si>
    <t>dataset…/edit.html</t>
    <phoneticPr fontId="2"/>
  </si>
  <si>
    <t>dataset…/index.html</t>
    <phoneticPr fontId="2"/>
  </si>
  <si>
    <t>dataset…/new.html</t>
    <phoneticPr fontId="2"/>
  </si>
  <si>
    <t>dataset…/show.html</t>
    <phoneticPr fontId="2"/>
  </si>
  <si>
    <t>dataset_file_schemas…/schema_table.html</t>
    <phoneticPr fontId="2"/>
  </si>
  <si>
    <t>files/edit_form.html</t>
    <phoneticPr fontId="2"/>
  </si>
  <si>
    <t>files/new_form.html</t>
    <phoneticPr fontId="2"/>
  </si>
  <si>
    <t>files/index.html</t>
    <phoneticPr fontId="2"/>
  </si>
  <si>
    <t>mailer/success.html</t>
    <phoneticPr fontId="2"/>
  </si>
  <si>
    <t>mailer/success_private_github.html</t>
    <phoneticPr fontId="2"/>
  </si>
  <si>
    <t>mailer/success_private_local.html</t>
    <phoneticPr fontId="2"/>
  </si>
  <si>
    <t>datasets/dataset.html</t>
    <phoneticPr fontId="2"/>
  </si>
  <si>
    <t>datasets/datasets.html</t>
    <phoneticPr fontId="2"/>
  </si>
  <si>
    <t>datasets/edit_form.html</t>
    <phoneticPr fontId="2"/>
  </si>
  <si>
    <t>datasets/new_gorm.html</t>
    <phoneticPr fontId="2"/>
  </si>
  <si>
    <t>datasets/created.html</t>
    <phoneticPr fontId="2"/>
  </si>
  <si>
    <t>datasets/dashboard.html</t>
    <phoneticPr fontId="2"/>
  </si>
  <si>
    <t>datasets/edit.html.html</t>
    <phoneticPr fontId="2"/>
  </si>
  <si>
    <t>datasets/edited.html.html</t>
    <phoneticPr fontId="2"/>
  </si>
  <si>
    <t>datasets/index.html.html</t>
    <phoneticPr fontId="2"/>
  </si>
  <si>
    <t>datasets/index.feed.html.html</t>
    <phoneticPr fontId="2"/>
  </si>
  <si>
    <t>datasets/index.json.html.html</t>
    <phoneticPr fontId="2"/>
  </si>
  <si>
    <t>datasets/new.html.html</t>
    <phoneticPr fontId="2"/>
  </si>
  <si>
    <t>inferred_dataset_file_schemas/new.html</t>
    <phoneticPr fontId="2"/>
  </si>
  <si>
    <t>layout/nav.html</t>
    <phoneticPr fontId="2"/>
  </si>
  <si>
    <t>layout/application.html</t>
    <phoneticPr fontId="2"/>
  </si>
  <si>
    <t>output/index</t>
    <phoneticPr fontId="2"/>
  </si>
  <si>
    <t>output/new</t>
    <phoneticPr fontId="2"/>
  </si>
  <si>
    <t>output/show</t>
    <phoneticPr fontId="2"/>
  </si>
  <si>
    <t>restricted/edit</t>
    <phoneticPr fontId="2"/>
  </si>
  <si>
    <t>schema_categories/form</t>
    <phoneticPr fontId="2"/>
  </si>
  <si>
    <t>schema_categories/json</t>
    <phoneticPr fontId="2"/>
  </si>
  <si>
    <t>schema_categories/edit</t>
    <phoneticPr fontId="2"/>
  </si>
  <si>
    <t>schema_categories/index</t>
    <phoneticPr fontId="2"/>
  </si>
  <si>
    <t>schema_categories/index.json</t>
    <phoneticPr fontId="2"/>
  </si>
  <si>
    <t>schema_categories/new.html</t>
    <phoneticPr fontId="2"/>
  </si>
  <si>
    <t>users/edit</t>
    <phoneticPr fontId="2"/>
  </si>
  <si>
    <t>users/index</t>
    <phoneticPr fontId="2"/>
  </si>
  <si>
    <t>users/show</t>
    <phoneticPr fontId="2"/>
  </si>
  <si>
    <t>andylolz</t>
    <phoneticPr fontId="2"/>
  </si>
  <si>
    <t>全体（合計）</t>
    <rPh sb="0" eb="2">
      <t>ゼンタイ</t>
    </rPh>
    <rPh sb="3" eb="5">
      <t>ゴウケイ</t>
    </rPh>
    <phoneticPr fontId="2"/>
  </si>
  <si>
    <t>割合</t>
    <rPh sb="0" eb="2">
      <t>ワリアイ</t>
    </rPh>
    <phoneticPr fontId="2"/>
  </si>
  <si>
    <t>作成＋平均</t>
    <rPh sb="0" eb="2">
      <t>サクセイ</t>
    </rPh>
    <rPh sb="3" eb="5">
      <t>ヘイキn</t>
    </rPh>
    <phoneticPr fontId="2"/>
  </si>
  <si>
    <t>haslinger</t>
    <phoneticPr fontId="2"/>
  </si>
  <si>
    <t>klappradla</t>
  </si>
  <si>
    <t>klappradla</t>
    <phoneticPr fontId="2"/>
  </si>
  <si>
    <t>mraaroncruz</t>
    <phoneticPr fontId="2"/>
  </si>
  <si>
    <t>groe</t>
    <phoneticPr fontId="2"/>
  </si>
  <si>
    <t>metakermit</t>
    <phoneticPr fontId="2"/>
  </si>
  <si>
    <t>api_con</t>
    <phoneticPr fontId="2"/>
  </si>
  <si>
    <t>ramonh</t>
    <phoneticPr fontId="2"/>
  </si>
  <si>
    <t>eve_con</t>
    <phoneticPr fontId="2"/>
  </si>
  <si>
    <t>lan_con</t>
    <phoneticPr fontId="2"/>
  </si>
  <si>
    <t>regi_con</t>
    <phoneticPr fontId="2"/>
  </si>
  <si>
    <t>shi_con</t>
    <phoneticPr fontId="2"/>
  </si>
  <si>
    <t>user_con</t>
    <phoneticPr fontId="2"/>
  </si>
  <si>
    <t>omniauth_call_con</t>
    <phoneticPr fontId="2"/>
  </si>
  <si>
    <t>ongoing</t>
    <phoneticPr fontId="2"/>
  </si>
  <si>
    <t>pass</t>
    <phoneticPr fontId="2"/>
  </si>
  <si>
    <t>sessions</t>
    <phoneticPr fontId="2"/>
  </si>
  <si>
    <t>unlocks</t>
    <phoneticPr fontId="2"/>
  </si>
  <si>
    <t>api/ab_con</t>
    <phoneticPr fontId="2"/>
  </si>
  <si>
    <t>ngos/confirm_con</t>
    <phoneticPr fontId="2"/>
  </si>
  <si>
    <t>users/confi_con</t>
    <phoneticPr fontId="2"/>
  </si>
  <si>
    <t>omni_call_con</t>
    <phoneticPr fontId="2"/>
  </si>
  <si>
    <t>pass_con</t>
    <phoneticPr fontId="2"/>
  </si>
  <si>
    <t>sessions_con</t>
    <phoneticPr fontId="2"/>
  </si>
  <si>
    <t>unlocks_con</t>
    <phoneticPr fontId="2"/>
  </si>
  <si>
    <t>/app_con</t>
    <phoneticPr fontId="2"/>
  </si>
  <si>
    <t>/eve_con</t>
    <phoneticPr fontId="2"/>
  </si>
  <si>
    <t>/ongoing_con</t>
    <phoneticPr fontId="2"/>
  </si>
  <si>
    <t>/page_con</t>
    <phoneticPr fontId="2"/>
  </si>
  <si>
    <t>sche_con</t>
    <phoneticPr fontId="2"/>
  </si>
  <si>
    <t>shift_con</t>
    <phoneticPr fontId="2"/>
  </si>
  <si>
    <t>progress_bar/item.rb</t>
    <phoneticPr fontId="2"/>
  </si>
  <si>
    <t>contact.rb</t>
    <phoneticPr fontId="2"/>
  </si>
  <si>
    <t>event.rb</t>
    <phoneticPr fontId="2"/>
  </si>
  <si>
    <t>language.rb</t>
    <phoneticPr fontId="2"/>
  </si>
  <si>
    <t>ngo.rb</t>
    <phoneticPr fontId="2"/>
  </si>
  <si>
    <t>ongoing_event.rb</t>
    <phoneticPr fontId="2"/>
  </si>
  <si>
    <t>ongoing_event_category.rb</t>
    <phoneticPr fontId="2"/>
  </si>
  <si>
    <t>participation.rb</t>
    <phoneticPr fontId="2"/>
  </si>
  <si>
    <t>progress_bar.rb</t>
    <phoneticPr fontId="2"/>
  </si>
  <si>
    <t>qualification.rb</t>
    <phoneticPr fontId="2"/>
  </si>
  <si>
    <t>shit.rb</t>
    <phoneticPr fontId="2"/>
  </si>
  <si>
    <t>spoken_language</t>
    <phoneticPr fontId="2"/>
  </si>
  <si>
    <t>admin/abilities/form.html.rb</t>
    <phoneticPr fontId="2"/>
  </si>
  <si>
    <t>admin/event/show.builder</t>
    <phoneticPr fontId="2"/>
  </si>
  <si>
    <t>admin/languager</t>
    <phoneticPr fontId="2"/>
  </si>
  <si>
    <t>admin/ngos</t>
    <phoneticPr fontId="2"/>
  </si>
  <si>
    <t>admin/ongoing_event_categories</t>
    <phoneticPr fontId="2"/>
  </si>
  <si>
    <t>admin/ongoing_events</t>
    <phoneticPr fontId="2"/>
  </si>
  <si>
    <t>admin/users</t>
    <phoneticPr fontId="2"/>
  </si>
  <si>
    <t>admin_mailer/</t>
    <phoneticPr fontId="2"/>
  </si>
  <si>
    <t>api/vi/abilities</t>
    <phoneticPr fontId="2"/>
  </si>
  <si>
    <t>application</t>
    <phoneticPr fontId="2"/>
  </si>
  <si>
    <t>events/</t>
    <phoneticPr fontId="2"/>
  </si>
  <si>
    <t>layout/application.html.erb</t>
    <phoneticPr fontId="2"/>
  </si>
  <si>
    <t>ngo_mailer/admin_confirmed_html.erb</t>
    <phoneticPr fontId="2"/>
  </si>
  <si>
    <t>関数名</t>
    <rPh sb="0" eb="3">
      <t>カンスウメイ</t>
    </rPh>
    <phoneticPr fontId="2"/>
  </si>
  <si>
    <t>順位</t>
    <rPh sb="0" eb="2">
      <t>ジュンイ</t>
    </rPh>
    <phoneticPr fontId="2"/>
  </si>
  <si>
    <t>使用回数</t>
    <rPh sb="0" eb="4">
      <t>シヨウカイスウ</t>
    </rPh>
    <phoneticPr fontId="2"/>
  </si>
  <si>
    <t>開発者</t>
    <rPh sb="0" eb="3">
      <t>カイハツシャ</t>
    </rPh>
    <phoneticPr fontId="2"/>
  </si>
  <si>
    <t>state</t>
    <phoneticPr fontId="2"/>
  </si>
  <si>
    <t xml:space="preserve">  pending</t>
    <phoneticPr fontId="2"/>
  </si>
  <si>
    <t xml:space="preserve">  ends_at</t>
    <phoneticPr fontId="2"/>
  </si>
  <si>
    <t xml:space="preserve">  starts_at</t>
    <phoneticPr fontId="2"/>
  </si>
  <si>
    <t xml:space="preserve">   volunteers_count</t>
    <phoneticPr fontId="2"/>
  </si>
  <si>
    <t xml:space="preserve">  progress_bar</t>
    <phoneticPr fontId="2"/>
  </si>
  <si>
    <t>volunteers_needed</t>
    <phoneticPr fontId="2"/>
  </si>
  <si>
    <t>publish</t>
    <phoneticPr fontId="2"/>
  </si>
  <si>
    <t>name</t>
    <phoneticPr fontId="2"/>
  </si>
  <si>
    <t xml:space="preserve"> items</t>
    <phoneticPr fontId="2"/>
  </si>
  <si>
    <t>ポイント</t>
    <phoneticPr fontId="2"/>
  </si>
  <si>
    <t>その他…</t>
    <phoneticPr fontId="2"/>
  </si>
  <si>
    <t>opt_out</t>
    <phoneticPr fontId="2"/>
  </si>
  <si>
    <t xml:space="preserve">  opt_in</t>
    <phoneticPr fontId="2"/>
  </si>
  <si>
    <t xml:space="preserve">  event_params</t>
    <phoneticPr fontId="2"/>
  </si>
  <si>
    <t>cal</t>
    <phoneticPr fontId="2"/>
  </si>
  <si>
    <t xml:space="preserve"> publish</t>
    <phoneticPr fontId="2"/>
  </si>
  <si>
    <t xml:space="preserve"> configure_sign_up_params</t>
    <phoneticPr fontId="2"/>
  </si>
  <si>
    <t xml:space="preserve">  configure_account_update_params</t>
    <phoneticPr fontId="2"/>
  </si>
  <si>
    <t xml:space="preserve"> user_params</t>
    <phoneticPr fontId="2"/>
  </si>
  <si>
    <t xml:space="preserve">  resend_confirmation</t>
    <phoneticPr fontId="2"/>
  </si>
  <si>
    <t xml:space="preserve">  find_shift</t>
    <phoneticPr fontId="2"/>
  </si>
  <si>
    <t>ramonth</t>
  </si>
  <si>
    <t>ramonth</t>
    <phoneticPr fontId="2"/>
  </si>
  <si>
    <t>nalanjp</t>
    <phoneticPr fontId="2"/>
  </si>
  <si>
    <t>nanophate</t>
    <phoneticPr fontId="2"/>
  </si>
  <si>
    <t>tomoko523</t>
    <phoneticPr fontId="2"/>
  </si>
  <si>
    <t>yasulab</t>
    <phoneticPr fontId="2"/>
  </si>
  <si>
    <t>blog_post_page.rb</t>
    <phoneticPr fontId="2"/>
  </si>
  <si>
    <t>document.rb</t>
    <phoneticPr fontId="2"/>
  </si>
  <si>
    <t>dojo.rb</t>
    <phoneticPr fontId="2"/>
  </si>
  <si>
    <t>footer_widget.rb</t>
    <phoneticPr fontId="2"/>
  </si>
  <si>
    <t>image.rb</t>
    <phoneticPr fontId="2"/>
  </si>
  <si>
    <t>image_ridget.rb</t>
    <phoneticPr fontId="2"/>
  </si>
  <si>
    <t>loginpage.rb</t>
    <phoneticPr fontId="2"/>
  </si>
  <si>
    <t>onj.rb</t>
    <phoneticPr fontId="2"/>
  </si>
  <si>
    <t>sotechsha_overvire_page.rb</t>
    <phoneticPr fontId="2"/>
  </si>
  <si>
    <t>tesxt_widget.rb</t>
    <phoneticPr fontId="2"/>
  </si>
  <si>
    <t>コメント：サポート性が低い→１つのファイルに１人が携わる体制だと考えられる</t>
    <phoneticPr fontId="2"/>
  </si>
  <si>
    <t>cms_controller.rb</t>
    <phoneticPr fontId="2"/>
  </si>
  <si>
    <t>login_page</t>
    <phoneticPr fontId="2"/>
  </si>
  <si>
    <t>plain_page</t>
    <phoneticPr fontId="2"/>
  </si>
  <si>
    <t>blog_post_page/details</t>
    <phoneticPr fontId="2"/>
  </si>
  <si>
    <t>/docs</t>
    <phoneticPr fontId="2"/>
  </si>
  <si>
    <t>/down</t>
    <phoneticPr fontId="2"/>
  </si>
  <si>
    <t>/fotter</t>
    <phoneticPr fontId="2"/>
  </si>
  <si>
    <t>/headline_widget</t>
    <phoneticPr fontId="2"/>
  </si>
  <si>
    <t>/image</t>
    <phoneticPr fontId="2"/>
  </si>
  <si>
    <t>/image_widget</t>
    <phoneticPr fontId="2"/>
  </si>
  <si>
    <t>/layout</t>
    <phoneticPr fontId="2"/>
  </si>
  <si>
    <t>shared/_fotter</t>
    <phoneticPr fontId="2"/>
  </si>
  <si>
    <t>sotechsha_overview_page/details.html.haml</t>
    <phoneticPr fontId="2"/>
  </si>
  <si>
    <t>static_pages/_dojo.html.haml</t>
    <phoneticPr fontId="2"/>
  </si>
  <si>
    <t>text/show.html.haml</t>
    <phoneticPr fontId="2"/>
  </si>
  <si>
    <t>コメント：全てのファイルをnalanjpが開発→nalanjpがメインコーダー</t>
    <rPh sb="5" eb="6">
      <t>スベテノ</t>
    </rPh>
    <rPh sb="21" eb="23">
      <t>カイハツ</t>
    </rPh>
    <phoneticPr fontId="2"/>
  </si>
  <si>
    <t>FredericoAndrade</t>
    <phoneticPr fontId="2"/>
  </si>
  <si>
    <t>/admin_controller.rb</t>
    <phoneticPr fontId="2"/>
  </si>
  <si>
    <t>application_controller.rb</t>
    <phoneticPr fontId="2"/>
  </si>
  <si>
    <t>ErinGreenhalgh</t>
    <phoneticPr fontId="2"/>
  </si>
  <si>
    <t>authenticated_controller.rb</t>
    <phoneticPr fontId="2"/>
  </si>
  <si>
    <t>ChrisVoxland</t>
    <phoneticPr fontId="2"/>
  </si>
  <si>
    <t>smrohrer</t>
    <phoneticPr fontId="2"/>
  </si>
  <si>
    <t>AmrAdelKhalil</t>
    <phoneticPr fontId="2"/>
  </si>
  <si>
    <t>dashboard_conttroller</t>
    <phoneticPr fontId="2"/>
  </si>
  <si>
    <t>home_con</t>
    <phoneticPr fontId="2"/>
  </si>
  <si>
    <t>phrase_pairs</t>
    <phoneticPr fontId="2"/>
  </si>
  <si>
    <t>searches_con</t>
    <phoneticPr fontId="2"/>
  </si>
  <si>
    <t>secure_con</t>
    <phoneticPr fontId="2"/>
  </si>
  <si>
    <t>video_uploads</t>
    <phoneticPr fontId="2"/>
  </si>
  <si>
    <t>book.rb</t>
    <phoneticPr fontId="2"/>
  </si>
  <si>
    <t>favorite_book.rb</t>
    <phoneticPr fontId="2"/>
  </si>
  <si>
    <t>admin/show.html.erb</t>
    <phoneticPr fontId="2"/>
  </si>
  <si>
    <t>books/new.html.erb</t>
    <phoneticPr fontId="2"/>
  </si>
  <si>
    <t>show.html.erb</t>
    <phoneticPr fontId="2"/>
  </si>
  <si>
    <t>features/show</t>
    <phoneticPr fontId="2"/>
  </si>
  <si>
    <t>lyaout</t>
    <phoneticPr fontId="2"/>
  </si>
  <si>
    <t>search</t>
    <phoneticPr fontId="2"/>
  </si>
  <si>
    <t>user_notifications</t>
    <phoneticPr fontId="2"/>
  </si>
  <si>
    <t>users</t>
    <phoneticPr fontId="2"/>
  </si>
  <si>
    <t>hennevogel</t>
    <phoneticPr fontId="2"/>
  </si>
  <si>
    <t>cornelius</t>
    <phoneticPr fontId="2"/>
  </si>
  <si>
    <t>application_controller</t>
    <phoneticPr fontId="2"/>
  </si>
  <si>
    <t>kirushik</t>
    <phoneticPr fontId="2"/>
  </si>
  <si>
    <t>comments_controller</t>
    <phoneticPr fontId="2"/>
  </si>
  <si>
    <t>episodes_controller</t>
    <phoneticPr fontId="2"/>
  </si>
  <si>
    <t>keyword</t>
    <phoneticPr fontId="2"/>
  </si>
  <si>
    <t>markdown</t>
    <phoneticPr fontId="2"/>
  </si>
  <si>
    <t>Kirill Pimenov</t>
    <phoneticPr fontId="2"/>
  </si>
  <si>
    <t>projects</t>
    <phoneticPr fontId="2"/>
  </si>
  <si>
    <t>jordimassaguerpia</t>
    <phoneticPr fontId="2"/>
  </si>
  <si>
    <t>enrollment.rb</t>
    <phoneticPr fontId="2"/>
  </si>
  <si>
    <t>episode_project_associantion.rb</t>
    <phoneticPr fontId="2"/>
  </si>
  <si>
    <t>keyword.rb</t>
    <phoneticPr fontId="2"/>
  </si>
  <si>
    <t>like.rb</t>
    <phoneticPr fontId="2"/>
  </si>
  <si>
    <t>project.rn</t>
    <phoneticPr fontId="2"/>
  </si>
  <si>
    <t>project_importer.rb</t>
    <phoneticPr fontId="2"/>
  </si>
  <si>
    <t>role.rb</t>
    <phoneticPr fontId="2"/>
  </si>
  <si>
    <t>update.rb</t>
    <phoneticPr fontId="2"/>
  </si>
  <si>
    <t>usr_interest.rb</t>
    <phoneticPr fontId="2"/>
  </si>
  <si>
    <t>about/index.html</t>
    <phoneticPr fontId="2"/>
  </si>
  <si>
    <t>dragotin</t>
    <phoneticPr fontId="2"/>
  </si>
  <si>
    <t>announcements/_announcement.html.haml</t>
  </si>
  <si>
    <t>comments/_comment.html.haml</t>
    <phoneticPr fontId="2"/>
  </si>
  <si>
    <t>ichain_sessions/new.html.haml</t>
    <phoneticPr fontId="2"/>
  </si>
  <si>
    <t>episodes/_file_buttons.html.haml</t>
  </si>
  <si>
    <t>gallery/index.html.haml</t>
    <phoneticPr fontId="2"/>
  </si>
  <si>
    <t>kaminari/_first_page.html.haml</t>
    <phoneticPr fontId="2"/>
  </si>
  <si>
    <t>layouts/</t>
    <phoneticPr fontId="2"/>
  </si>
  <si>
    <t>layouts/application.html.haml</t>
  </si>
  <si>
    <t>markdown/preview.js.erb</t>
    <phoneticPr fontId="2"/>
  </si>
  <si>
    <t>updates/_show.html.haml</t>
    <phoneticPr fontId="2"/>
  </si>
  <si>
    <t>users/_buttons.html.haml</t>
    <phoneticPr fontId="2"/>
  </si>
  <si>
    <t> 5 title</t>
  </si>
  <si>
    <t>   4 path</t>
  </si>
  <si>
    <t>   3 number_of_tags</t>
  </si>
  <si>
    <t>   3 exists</t>
  </si>
  <si>
    <t>   3 content</t>
  </si>
  <si>
    <t>   2 url</t>
  </si>
  <si>
    <t>   2 all</t>
  </si>
  <si>
    <t>   1 self.instance</t>
  </si>
  <si>
    <t>   1 load_attributes_from_yaml</t>
  </si>
  <si>
    <t>   1 initialize</t>
  </si>
  <si>
    <t>   1 dump_attributes_to_yaml</t>
  </si>
  <si>
    <t>   1 apply_image_transformation</t>
  </si>
  <si>
    <t>順位</t>
  </si>
  <si>
    <t>関数名</t>
  </si>
  <si>
    <t>使用回数</t>
  </si>
  <si>
    <t>開発者</t>
  </si>
  <si>
    <t> 20 index</t>
  </si>
  <si>
    <t>   2 valid_credentials</t>
  </si>
  <si>
    <t>   2 set_request_variant</t>
  </si>
  <si>
    <t>   2 login_page_access</t>
  </si>
  <si>
    <t>   2 destroy</t>
  </si>
  <si>
    <t>   1 store_location</t>
  </si>
  <si>
    <t>   1 stats</t>
  </si>
  <si>
    <t>   1 show</t>
  </si>
  <si>
    <t>   1 logged_in_user</t>
  </si>
  <si>
    <t>   1 letsencrypt</t>
  </si>
  <si>
    <t>   1 home</t>
  </si>
  <si>
    <t>   1 create</t>
  </si>
  <si>
    <t>8 send_admin_notification</t>
  </si>
  <si>
    <t>   2 send_user_welcome</t>
  </si>
  <si>
    <t>   2 clear_books</t>
  </si>
  <si>
    <t>   1 self.most_recent_with_content</t>
  </si>
  <si>
    <t>   1 children</t>
  </si>
  <si>
    <t>   1 authored_books</t>
  </si>
  <si>
    <t>  27 destroy</t>
  </si>
  <si>
    <t>  20 show</t>
  </si>
  <si>
    <t>  16 new</t>
  </si>
  <si>
    <t>  15 create</t>
  </si>
  <si>
    <t>  10 index</t>
  </si>
  <si>
    <t>   4 update</t>
  </si>
  <si>
    <t>   3 filename</t>
  </si>
  <si>
    <t>   2 presigned_url</t>
  </si>
  <si>
    <t>   2 favorite</t>
  </si>
  <si>
    <t>   2 configure_permitted_parameters</t>
  </si>
  <si>
    <t>   1 search</t>
  </si>
  <si>
    <t> 46 project</t>
  </si>
  <si>
    <t>  22 active</t>
  </si>
  <si>
    <t>  12 add_keyword</t>
  </si>
  <si>
    <t>   5 role</t>
  </si>
  <si>
    <t>   4 to_param</t>
  </si>
  <si>
    <t>   4 remove_keyword</t>
  </si>
  <si>
    <t>   2 title_contains_letters</t>
  </si>
  <si>
    <t>   2 random_avatar</t>
  </si>
  <si>
    <t>   2 like</t>
  </si>
  <si>
    <t>   2 join</t>
  </si>
  <si>
    <t>   2 enroll</t>
  </si>
  <si>
    <t>   2 dislike</t>
  </si>
  <si>
    <t>   2 create_initial_update</t>
  </si>
  <si>
    <t>   2 assign_episode</t>
  </si>
  <si>
    <t>   1 self.numeric</t>
  </si>
  <si>
    <t>   1 self.import</t>
  </si>
  <si>
    <t>   1 self.get_import_user</t>
  </si>
  <si>
    <t>   1 self.for_ichain_username</t>
  </si>
  <si>
    <t>   1 self.find_or_create_user</t>
  </si>
  <si>
    <t>   1 self.current</t>
  </si>
  <si>
    <t>   1 previous</t>
  </si>
  <si>
    <t>   1 next</t>
  </si>
  <si>
    <t>   1 leave</t>
  </si>
  <si>
    <t>   1 comment_texts</t>
  </si>
  <si>
    <t>  64 new</t>
  </si>
  <si>
    <t>  45 show</t>
  </si>
  <si>
    <t>  27 edit</t>
  </si>
  <si>
    <t>  21 destroy</t>
  </si>
  <si>
    <t>  16 create</t>
  </si>
  <si>
    <t>  16 add_keyword</t>
  </si>
  <si>
    <t>  12 keyword_params</t>
  </si>
  <si>
    <t>  12 delete_keyword</t>
  </si>
  <si>
    <t>   9 update</t>
  </si>
  <si>
    <t>   8 redirect_to_slug</t>
  </si>
  <si>
    <t>   6 set_episode</t>
  </si>
  <si>
    <t>   5 join</t>
  </si>
  <si>
    <t>   5 finished</t>
  </si>
  <si>
    <t>   5 archived</t>
  </si>
  <si>
    <t>   4 me</t>
  </si>
  <si>
    <t>   4 enroll</t>
  </si>
  <si>
    <t>   3 recess</t>
  </si>
  <si>
    <t>   3 random</t>
  </si>
  <si>
    <t>   3 project_params</t>
  </si>
  <si>
    <t>   3 like</t>
  </si>
  <si>
    <t>   3 leave</t>
  </si>
  <si>
    <t>   3 episode_params</t>
  </si>
  <si>
    <t>   3 dislike</t>
  </si>
  <si>
    <t>   3 biggest</t>
  </si>
  <si>
    <t>   3 announcement_params</t>
  </si>
  <si>
    <t>   3 advance</t>
  </si>
  <si>
    <t>90 index</t>
  </si>
  <si>
    <t>api/v5/api_controller.rb</t>
    <phoneticPr fontId="2"/>
  </si>
  <si>
    <t>Bad-Science</t>
  </si>
  <si>
    <t>Bad-Science</t>
    <phoneticPr fontId="2"/>
  </si>
  <si>
    <t>kubrk1997</t>
  </si>
  <si>
    <t>kubrk1997</t>
    <phoneticPr fontId="2"/>
  </si>
  <si>
    <t>shaynajrosado</t>
  </si>
  <si>
    <t>shaynajrosado</t>
    <phoneticPr fontId="2"/>
  </si>
  <si>
    <t>api/v5/schedules_controller.rb</t>
    <phoneticPr fontId="2"/>
  </si>
  <si>
    <t>static_controller.rb</t>
    <phoneticPr fontId="2"/>
  </si>
  <si>
    <t>course.rb</t>
    <phoneticPr fontId="2"/>
  </si>
  <si>
    <t>richie Young</t>
  </si>
  <si>
    <t>richie Young</t>
    <phoneticPr fontId="2"/>
  </si>
  <si>
    <t>digitalninja</t>
    <phoneticPr fontId="2"/>
  </si>
  <si>
    <t>depatment.rb</t>
    <phoneticPr fontId="2"/>
  </si>
  <si>
    <t>sections_controller.rb</t>
    <phoneticPr fontId="2"/>
  </si>
  <si>
    <t>school.rb</t>
    <phoneticPr fontId="2"/>
  </si>
  <si>
    <t>api/v5/courses</t>
    <phoneticPr fontId="2"/>
  </si>
  <si>
    <t>api/v5/departments/index.json</t>
    <phoneticPr fontId="2"/>
  </si>
  <si>
    <t>api/v5/schedules/index.json.jbuilder</t>
    <phoneticPr fontId="2"/>
  </si>
  <si>
    <t>apiv5/chools</t>
    <phoneticPr fontId="2"/>
  </si>
  <si>
    <t>sections/_sections.json.jbuilder</t>
    <phoneticPr fontId="2"/>
  </si>
  <si>
    <t>layout/application.html.reb</t>
    <phoneticPr fontId="2"/>
  </si>
  <si>
    <t>static/.converlls.yml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</si>
</sst>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0.000000000000000%"/>
  </numFmts>
  <fonts count="20" x14ac:knownFonts="1">
    <font>
      <sz val="12"/>
      <color theme="1"/>
      <name val="Yu Gothic"/>
      <family val="2"/>
      <charset val="128"/>
      <scheme val="minor"/>
    </font>
    <font>
      <b/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b/>
      <sz val="11"/>
      <color rgb="FFFF0000"/>
      <name val="Yu Gothic"/>
      <family val="3"/>
      <charset val="128"/>
      <scheme val="minor"/>
    </font>
    <font>
      <b/>
      <sz val="11"/>
      <color rgb="FFFF0000"/>
      <name val="Yu Gothic (本文)"/>
      <family val="3"/>
      <charset val="128"/>
    </font>
    <font>
      <b/>
      <sz val="12"/>
      <color rgb="FF000000"/>
      <name val="Yu Gothic"/>
      <family val="3"/>
      <charset val="128"/>
      <scheme val="minor"/>
    </font>
    <font>
      <sz val="12"/>
      <color rgb="FF000000"/>
      <name val="Yu Gothic"/>
      <family val="3"/>
      <charset val="128"/>
      <scheme val="minor"/>
    </font>
    <font>
      <sz val="11"/>
      <color rgb="FF000000"/>
      <name val="Yu Gothic"/>
      <family val="3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  <font>
      <b/>
      <sz val="11"/>
      <color theme="1"/>
      <name val="Yu Gothic (本文)"/>
      <charset val="128"/>
    </font>
    <font>
      <sz val="10"/>
      <color theme="1"/>
      <name val="Yu Gothic"/>
      <family val="2"/>
      <charset val="128"/>
      <scheme val="minor"/>
    </font>
    <font>
      <b/>
      <sz val="10"/>
      <color rgb="FFFF0000"/>
      <name val="Yu Gothic (本文)"/>
      <charset val="128"/>
    </font>
    <font>
      <b/>
      <sz val="10"/>
      <color rgb="FFFF0000"/>
      <name val="Yu Gothic"/>
      <family val="3"/>
      <charset val="128"/>
      <scheme val="minor"/>
    </font>
    <font>
      <sz val="11"/>
      <color theme="1"/>
      <name val="Yu Gothic (本文)"/>
      <charset val="128"/>
    </font>
    <font>
      <sz val="11"/>
      <color rgb="FFF1F4E2"/>
      <name val="Menlo"/>
      <family val="2"/>
    </font>
    <font>
      <b/>
      <sz val="11"/>
      <color theme="1"/>
      <name val="Menlo"/>
      <family val="2"/>
    </font>
    <font>
      <sz val="11"/>
      <color theme="1"/>
      <name val="Menlo"/>
      <family val="2"/>
    </font>
    <font>
      <b/>
      <sz val="11"/>
      <color theme="1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41">
    <border>
      <left/>
      <right/>
      <top/>
      <bottom/>
      <diagonal/>
    </border>
    <border>
      <left/>
      <right/>
      <top style="thick">
        <color auto="1"/>
      </top>
      <bottom style="thick">
        <color auto="1"/>
      </bottom>
      <diagonal/>
    </border>
    <border>
      <left style="thin">
        <color auto="1"/>
      </left>
      <right style="mediumDashed">
        <color auto="1"/>
      </right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mediumDashDotDot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mediumDashDotDot">
        <color auto="1"/>
      </bottom>
      <diagonal/>
    </border>
    <border>
      <left/>
      <right/>
      <top style="thick">
        <color auto="1"/>
      </top>
      <bottom style="mediumDashDotDot">
        <color auto="1"/>
      </bottom>
      <diagonal/>
    </border>
    <border>
      <left/>
      <right style="thick">
        <color auto="1"/>
      </right>
      <top style="thick">
        <color auto="1"/>
      </top>
      <bottom style="mediumDashDotDot">
        <color auto="1"/>
      </bottom>
      <diagonal/>
    </border>
    <border>
      <left style="thin">
        <color auto="1"/>
      </left>
      <right style="mediumDashed">
        <color auto="1"/>
      </right>
      <top style="thick">
        <color auto="1"/>
      </top>
      <bottom style="dashed">
        <color auto="1"/>
      </bottom>
      <diagonal/>
    </border>
    <border>
      <left/>
      <right/>
      <top style="thick">
        <color auto="1"/>
      </top>
      <bottom style="dashed">
        <color auto="1"/>
      </bottom>
      <diagonal/>
    </border>
    <border>
      <left/>
      <right style="thin">
        <color auto="1"/>
      </right>
      <top style="thick">
        <color auto="1"/>
      </top>
      <bottom style="dashed">
        <color auto="1"/>
      </bottom>
      <diagonal/>
    </border>
    <border>
      <left style="thin">
        <color auto="1"/>
      </left>
      <right style="mediumDashed">
        <color auto="1"/>
      </right>
      <top style="dashed">
        <color auto="1"/>
      </top>
      <bottom style="dashed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 style="thin">
        <color auto="1"/>
      </right>
      <top style="dashed">
        <color auto="1"/>
      </top>
      <bottom style="dashed">
        <color auto="1"/>
      </bottom>
      <diagonal/>
    </border>
    <border>
      <left/>
      <right style="mediumDashed">
        <color auto="1"/>
      </right>
      <top style="thick">
        <color auto="1"/>
      </top>
      <bottom style="dashed">
        <color auto="1"/>
      </bottom>
      <diagonal/>
    </border>
    <border>
      <left/>
      <right style="mediumDashed">
        <color auto="1"/>
      </right>
      <top style="dashed">
        <color auto="1"/>
      </top>
      <bottom style="dashed">
        <color auto="1"/>
      </bottom>
      <diagonal/>
    </border>
    <border>
      <left style="mediumDashed">
        <color auto="1"/>
      </left>
      <right/>
      <top style="thick">
        <color auto="1"/>
      </top>
      <bottom style="dashed">
        <color auto="1"/>
      </bottom>
      <diagonal/>
    </border>
    <border>
      <left style="mediumDashed">
        <color auto="1"/>
      </left>
      <right/>
      <top style="dashed">
        <color auto="1"/>
      </top>
      <bottom style="dashed">
        <color auto="1"/>
      </bottom>
      <diagonal/>
    </border>
    <border>
      <left style="thin">
        <color auto="1"/>
      </left>
      <right style="mediumDashed">
        <color auto="1"/>
      </right>
      <top style="dashed">
        <color auto="1"/>
      </top>
      <bottom/>
      <diagonal/>
    </border>
    <border>
      <left/>
      <right/>
      <top style="dashed">
        <color auto="1"/>
      </top>
      <bottom/>
      <diagonal/>
    </border>
    <border>
      <left/>
      <right style="mediumDashed">
        <color auto="1"/>
      </right>
      <top style="dashed">
        <color auto="1"/>
      </top>
      <bottom/>
      <diagonal/>
    </border>
    <border>
      <left style="mediumDashed">
        <color auto="1"/>
      </left>
      <right/>
      <top style="dashed">
        <color auto="1"/>
      </top>
      <bottom/>
      <diagonal/>
    </border>
    <border>
      <left/>
      <right style="thin">
        <color auto="1"/>
      </right>
      <top style="dashed">
        <color auto="1"/>
      </top>
      <bottom/>
      <diagonal/>
    </border>
    <border>
      <left style="thin">
        <color auto="1"/>
      </left>
      <right style="mediumDashed">
        <color auto="1"/>
      </right>
      <top/>
      <bottom style="dashed">
        <color auto="1"/>
      </bottom>
      <diagonal/>
    </border>
    <border>
      <left/>
      <right/>
      <top/>
      <bottom style="dashed">
        <color auto="1"/>
      </bottom>
      <diagonal/>
    </border>
    <border>
      <left/>
      <right style="mediumDashed">
        <color auto="1"/>
      </right>
      <top/>
      <bottom style="dashed">
        <color auto="1"/>
      </bottom>
      <diagonal/>
    </border>
    <border>
      <left style="mediumDashed">
        <color auto="1"/>
      </left>
      <right/>
      <top/>
      <bottom style="dashed">
        <color auto="1"/>
      </bottom>
      <diagonal/>
    </border>
    <border>
      <left/>
      <right style="thin">
        <color auto="1"/>
      </right>
      <top/>
      <bottom style="dashed">
        <color auto="1"/>
      </bottom>
      <diagonal/>
    </border>
    <border>
      <left style="thick">
        <color auto="1"/>
      </left>
      <right/>
      <top style="mediumDashDotDot">
        <color auto="1"/>
      </top>
      <bottom style="thick">
        <color auto="1"/>
      </bottom>
      <diagonal/>
    </border>
    <border>
      <left/>
      <right style="thick">
        <color auto="1"/>
      </right>
      <top style="mediumDashDotDot">
        <color auto="1"/>
      </top>
      <bottom style="thick">
        <color auto="1"/>
      </bottom>
      <diagonal/>
    </border>
    <border>
      <left/>
      <right style="thick">
        <color rgb="FF000000"/>
      </right>
      <top style="thick">
        <color auto="1"/>
      </top>
      <bottom style="mediumDashDotDot">
        <color auto="1"/>
      </bottom>
      <diagonal/>
    </border>
    <border>
      <left/>
      <right style="thick">
        <color rgb="FF000000"/>
      </right>
      <top style="mediumDashDotDot">
        <color auto="1"/>
      </top>
      <bottom style="thick">
        <color auto="1"/>
      </bottom>
      <diagonal/>
    </border>
    <border>
      <left/>
      <right style="mediumDashed">
        <color auto="1"/>
      </right>
      <top/>
      <bottom/>
      <diagonal/>
    </border>
    <border>
      <left style="mediumDashed">
        <color auto="1"/>
      </left>
      <right/>
      <top/>
      <bottom/>
      <diagonal/>
    </border>
    <border>
      <left style="thick">
        <color rgb="FF000000"/>
      </left>
      <right/>
      <top style="mediumDashDotDot">
        <color auto="1"/>
      </top>
      <bottom style="thick">
        <color auto="1"/>
      </bottom>
      <diagonal/>
    </border>
    <border>
      <left/>
      <right style="mediumDashed">
        <color auto="1"/>
      </right>
      <top/>
      <bottom style="thick">
        <color auto="1"/>
      </bottom>
      <diagonal/>
    </border>
    <border>
      <left style="mediumDashed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 style="dashed">
        <color auto="1"/>
      </top>
      <bottom style="dashed">
        <color auto="1"/>
      </bottom>
      <diagonal/>
    </border>
    <border>
      <left/>
      <right style="thick">
        <color auto="1"/>
      </right>
      <top/>
      <bottom style="dashed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mediumDashed">
        <color auto="1"/>
      </left>
      <right/>
      <top style="dashed">
        <color auto="1"/>
      </top>
      <bottom style="dashDotDot">
        <color auto="1"/>
      </bottom>
      <diagonal/>
    </border>
  </borders>
  <cellStyleXfs count="29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4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3" fillId="0" borderId="8" xfId="0" applyFont="1" applyBorder="1"/>
    <xf numFmtId="0" fontId="0" fillId="0" borderId="9" xfId="0" applyBorder="1" applyAlignment="1">
      <alignment horizontal="center" vertical="center"/>
    </xf>
    <xf numFmtId="0" fontId="0" fillId="0" borderId="9" xfId="0" applyBorder="1"/>
    <xf numFmtId="0" fontId="0" fillId="0" borderId="10" xfId="0" applyBorder="1"/>
    <xf numFmtId="0" fontId="3" fillId="0" borderId="11" xfId="0" applyFont="1" applyBorder="1"/>
    <xf numFmtId="0" fontId="0" fillId="0" borderId="12" xfId="0" applyBorder="1" applyAlignment="1">
      <alignment horizontal="center" vertical="center"/>
    </xf>
    <xf numFmtId="0" fontId="0" fillId="0" borderId="12" xfId="0" applyBorder="1"/>
    <xf numFmtId="0" fontId="0" fillId="0" borderId="13" xfId="0" applyBorder="1"/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6" xfId="0" applyBorder="1"/>
    <xf numFmtId="0" fontId="0" fillId="0" borderId="14" xfId="0" applyBorder="1"/>
    <xf numFmtId="0" fontId="0" fillId="0" borderId="17" xfId="0" applyBorder="1"/>
    <xf numFmtId="0" fontId="0" fillId="0" borderId="15" xfId="0" applyBorder="1"/>
    <xf numFmtId="0" fontId="3" fillId="0" borderId="18" xfId="0" applyFont="1" applyBorder="1"/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9" xfId="0" applyBorder="1"/>
    <xf numFmtId="0" fontId="0" fillId="0" borderId="21" xfId="0" applyBorder="1"/>
    <xf numFmtId="0" fontId="0" fillId="0" borderId="20" xfId="0" applyBorder="1"/>
    <xf numFmtId="0" fontId="0" fillId="0" borderId="22" xfId="0" applyBorder="1"/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23" xfId="0" applyFont="1" applyBorder="1"/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4" xfId="0" applyBorder="1"/>
    <xf numFmtId="0" fontId="0" fillId="0" borderId="26" xfId="0" applyBorder="1"/>
    <xf numFmtId="0" fontId="0" fillId="0" borderId="25" xfId="0" applyBorder="1"/>
    <xf numFmtId="0" fontId="0" fillId="0" borderId="27" xfId="0" applyBorder="1"/>
    <xf numFmtId="0" fontId="3" fillId="0" borderId="0" xfId="0" applyFont="1" applyFill="1" applyBorder="1" applyAlignment="1">
      <alignment horizontal="center"/>
    </xf>
    <xf numFmtId="176" fontId="0" fillId="0" borderId="0" xfId="0" applyNumberFormat="1"/>
    <xf numFmtId="0" fontId="0" fillId="0" borderId="24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center"/>
    </xf>
    <xf numFmtId="0" fontId="4" fillId="0" borderId="23" xfId="0" applyFont="1" applyBorder="1"/>
    <xf numFmtId="0" fontId="5" fillId="0" borderId="23" xfId="0" applyFont="1" applyBorder="1"/>
    <xf numFmtId="0" fontId="4" fillId="0" borderId="11" xfId="0" applyFont="1" applyBorder="1"/>
    <xf numFmtId="0" fontId="6" fillId="0" borderId="3" xfId="0" applyFont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7" fillId="0" borderId="4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23" xfId="0" applyFont="1" applyBorder="1"/>
    <xf numFmtId="0" fontId="7" fillId="0" borderId="24" xfId="0" applyFont="1" applyBorder="1" applyAlignment="1">
      <alignment horizontal="center" vertical="center"/>
    </xf>
    <xf numFmtId="0" fontId="7" fillId="0" borderId="25" xfId="0" applyFont="1" applyBorder="1" applyAlignment="1">
      <alignment horizontal="center" vertical="center"/>
    </xf>
    <xf numFmtId="0" fontId="8" fillId="0" borderId="2" xfId="0" applyFont="1" applyBorder="1"/>
    <xf numFmtId="0" fontId="8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176" fontId="7" fillId="0" borderId="0" xfId="0" applyNumberFormat="1" applyFont="1"/>
    <xf numFmtId="0" fontId="8" fillId="0" borderId="2" xfId="0" applyFont="1" applyFill="1" applyBorder="1"/>
    <xf numFmtId="0" fontId="8" fillId="0" borderId="32" xfId="0" applyFont="1" applyFill="1" applyBorder="1"/>
    <xf numFmtId="0" fontId="8" fillId="0" borderId="35" xfId="0" applyFont="1" applyFill="1" applyBorder="1"/>
    <xf numFmtId="0" fontId="7" fillId="0" borderId="24" xfId="0" applyFont="1" applyBorder="1" applyAlignment="1">
      <alignment horizontal="center"/>
    </xf>
    <xf numFmtId="0" fontId="7" fillId="0" borderId="26" xfId="0" applyFont="1" applyBorder="1" applyAlignment="1">
      <alignment horizontal="center"/>
    </xf>
    <xf numFmtId="0" fontId="7" fillId="0" borderId="25" xfId="0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0" xfId="0" applyFont="1" applyFill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26" xfId="0" applyFont="1" applyBorder="1" applyAlignment="1">
      <alignment horizontal="center" vertical="center"/>
    </xf>
    <xf numFmtId="0" fontId="7" fillId="0" borderId="36" xfId="0" applyFont="1" applyBorder="1" applyAlignment="1">
      <alignment horizontal="center" vertical="center"/>
    </xf>
    <xf numFmtId="0" fontId="7" fillId="0" borderId="35" xfId="0" applyFont="1" applyBorder="1" applyAlignment="1">
      <alignment horizontal="center" vertical="center"/>
    </xf>
    <xf numFmtId="0" fontId="7" fillId="0" borderId="33" xfId="0" applyFont="1" applyBorder="1" applyAlignment="1">
      <alignment horizontal="center"/>
    </xf>
    <xf numFmtId="0" fontId="7" fillId="0" borderId="32" xfId="0" applyFont="1" applyBorder="1" applyAlignment="1">
      <alignment horizontal="center"/>
    </xf>
    <xf numFmtId="0" fontId="7" fillId="0" borderId="36" xfId="0" applyFont="1" applyBorder="1" applyAlignment="1">
      <alignment horizontal="center"/>
    </xf>
    <xf numFmtId="0" fontId="7" fillId="0" borderId="35" xfId="0" applyFont="1" applyBorder="1" applyAlignment="1">
      <alignment horizontal="center"/>
    </xf>
    <xf numFmtId="0" fontId="7" fillId="0" borderId="37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0" fontId="7" fillId="0" borderId="39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40" xfId="0" applyBorder="1" applyAlignment="1">
      <alignment horizontal="center" vertical="center"/>
    </xf>
    <xf numFmtId="0" fontId="11" fillId="0" borderId="23" xfId="0" applyFont="1" applyBorder="1"/>
    <xf numFmtId="0" fontId="0" fillId="0" borderId="0" xfId="0" applyFont="1" applyBorder="1" applyAlignment="1"/>
    <xf numFmtId="0" fontId="0" fillId="0" borderId="0" xfId="0" applyFont="1" applyBorder="1" applyAlignment="1">
      <alignment horizontal="center"/>
    </xf>
    <xf numFmtId="0" fontId="0" fillId="0" borderId="9" xfId="0" applyFont="1" applyBorder="1" applyAlignment="1">
      <alignment horizontal="center" vertical="center"/>
    </xf>
    <xf numFmtId="0" fontId="0" fillId="0" borderId="17" xfId="0" applyFont="1" applyBorder="1" applyAlignment="1">
      <alignment horizontal="center" vertical="center"/>
    </xf>
    <xf numFmtId="0" fontId="0" fillId="0" borderId="0" xfId="0" applyFont="1"/>
    <xf numFmtId="0" fontId="0" fillId="0" borderId="12" xfId="0" applyFont="1" applyBorder="1" applyAlignment="1">
      <alignment horizontal="center" vertical="center"/>
    </xf>
    <xf numFmtId="0" fontId="0" fillId="0" borderId="25" xfId="0" applyFont="1" applyBorder="1" applyAlignment="1">
      <alignment horizontal="center" vertical="center"/>
    </xf>
    <xf numFmtId="0" fontId="0" fillId="0" borderId="26" xfId="0" applyFont="1" applyBorder="1" applyAlignment="1">
      <alignment horizontal="center"/>
    </xf>
    <xf numFmtId="0" fontId="0" fillId="0" borderId="25" xfId="0" applyFont="1" applyBorder="1" applyAlignment="1">
      <alignment horizontal="center"/>
    </xf>
    <xf numFmtId="0" fontId="0" fillId="0" borderId="24" xfId="0" applyFont="1" applyBorder="1" applyAlignment="1">
      <alignment horizontal="center"/>
    </xf>
    <xf numFmtId="0" fontId="0" fillId="0" borderId="27" xfId="0" applyFont="1" applyBorder="1" applyAlignment="1">
      <alignment horizontal="center"/>
    </xf>
    <xf numFmtId="0" fontId="0" fillId="0" borderId="15" xfId="0" applyFont="1" applyBorder="1" applyAlignment="1">
      <alignment horizontal="center" vertical="center"/>
    </xf>
    <xf numFmtId="0" fontId="0" fillId="0" borderId="17" xfId="0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0" fillId="0" borderId="26" xfId="0" applyFont="1" applyBorder="1" applyAlignment="1">
      <alignment horizontal="center" vertical="center"/>
    </xf>
    <xf numFmtId="0" fontId="0" fillId="0" borderId="20" xfId="0" applyFont="1" applyBorder="1" applyAlignment="1">
      <alignment horizontal="center" vertical="center"/>
    </xf>
    <xf numFmtId="0" fontId="15" fillId="0" borderId="23" xfId="0" applyFont="1" applyBorder="1"/>
    <xf numFmtId="0" fontId="7" fillId="0" borderId="34" xfId="0" applyFont="1" applyBorder="1" applyAlignment="1">
      <alignment horizontal="center" vertical="center"/>
    </xf>
    <xf numFmtId="0" fontId="7" fillId="0" borderId="31" xfId="0" applyFont="1" applyBorder="1" applyAlignment="1">
      <alignment horizontal="center" vertical="center"/>
    </xf>
    <xf numFmtId="0" fontId="7" fillId="0" borderId="28" xfId="0" applyFont="1" applyBorder="1" applyAlignment="1">
      <alignment horizontal="center" vertical="center"/>
    </xf>
    <xf numFmtId="0" fontId="7" fillId="0" borderId="5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0" borderId="30" xfId="0" applyFont="1" applyBorder="1" applyAlignment="1">
      <alignment horizontal="center"/>
    </xf>
    <xf numFmtId="177" fontId="7" fillId="0" borderId="0" xfId="0" applyNumberFormat="1" applyFont="1" applyAlignment="1">
      <alignment vertical="center"/>
    </xf>
    <xf numFmtId="176" fontId="7" fillId="0" borderId="0" xfId="0" applyNumberFormat="1" applyFont="1" applyAlignment="1">
      <alignment vertical="center"/>
    </xf>
    <xf numFmtId="176" fontId="0" fillId="0" borderId="0" xfId="0" applyNumberFormat="1" applyFont="1" applyAlignment="1">
      <alignment vertical="center"/>
    </xf>
    <xf numFmtId="0" fontId="0" fillId="0" borderId="0" xfId="0" applyFont="1" applyAlignment="1">
      <alignment vertical="center"/>
    </xf>
    <xf numFmtId="0" fontId="0" fillId="0" borderId="5" xfId="0" applyFon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" xfId="0" applyFont="1" applyBorder="1" applyAlignment="1"/>
    <xf numFmtId="0" fontId="0" fillId="0" borderId="7" xfId="0" applyFont="1" applyBorder="1" applyAlignment="1"/>
    <xf numFmtId="176" fontId="13" fillId="0" borderId="0" xfId="0" applyNumberFormat="1" applyFont="1" applyAlignment="1">
      <alignment horizontal="center"/>
    </xf>
    <xf numFmtId="176" fontId="12" fillId="0" borderId="0" xfId="0" applyNumberFormat="1" applyFont="1" applyAlignment="1">
      <alignment horizontal="center"/>
    </xf>
    <xf numFmtId="177" fontId="14" fillId="0" borderId="0" xfId="0" applyNumberFormat="1" applyFont="1" applyAlignment="1">
      <alignment horizontal="center" vertical="center"/>
    </xf>
    <xf numFmtId="0" fontId="16" fillId="0" borderId="0" xfId="0" applyFont="1"/>
    <xf numFmtId="0" fontId="17" fillId="0" borderId="0" xfId="0" applyFont="1"/>
    <xf numFmtId="0" fontId="18" fillId="0" borderId="0" xfId="0" applyFont="1"/>
    <xf numFmtId="0" fontId="7" fillId="0" borderId="21" xfId="0" applyFont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7" fillId="0" borderId="33" xfId="0" applyFont="1" applyBorder="1" applyAlignment="1">
      <alignment horizontal="center" vertical="center"/>
    </xf>
    <xf numFmtId="0" fontId="19" fillId="0" borderId="23" xfId="0" applyFont="1" applyBorder="1"/>
    <xf numFmtId="0" fontId="7" fillId="0" borderId="29" xfId="0" applyFont="1" applyBorder="1" applyAlignment="1">
      <alignment horizontal="center" vertical="center"/>
    </xf>
  </cellXfs>
  <cellStyles count="29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O118"/>
  <sheetViews>
    <sheetView topLeftCell="A9" zoomScale="83" workbookViewId="0">
      <selection activeCell="O23" sqref="O23"/>
    </sheetView>
  </sheetViews>
  <sheetFormatPr baseColWidth="12" defaultRowHeight="20" x14ac:dyDescent="0.3"/>
  <cols>
    <col min="1" max="1" width="43.28515625" customWidth="1"/>
    <col min="2" max="2" width="11.140625" customWidth="1"/>
    <col min="3" max="3" width="9.140625" customWidth="1"/>
    <col min="4" max="4" width="9.7109375" customWidth="1"/>
    <col min="5" max="5" width="9.85546875" customWidth="1"/>
    <col min="6" max="6" width="9.7109375" customWidth="1"/>
    <col min="7" max="7" width="9.85546875" customWidth="1"/>
    <col min="8" max="8" width="9.5703125" customWidth="1"/>
    <col min="9" max="9" width="10" customWidth="1"/>
    <col min="10" max="10" width="11.7109375" customWidth="1"/>
    <col min="11" max="12" width="11" customWidth="1"/>
    <col min="13" max="13" width="10.42578125" customWidth="1"/>
  </cols>
  <sheetData>
    <row r="1" spans="1:13" x14ac:dyDescent="0.3">
      <c r="A1" s="2" t="s">
        <v>0</v>
      </c>
      <c r="B1" s="2" t="s">
        <v>1</v>
      </c>
      <c r="C1" s="2"/>
      <c r="D1" s="2"/>
      <c r="E1" s="2"/>
    </row>
    <row r="2" spans="1:13" ht="59" customHeight="1" x14ac:dyDescent="0.3">
      <c r="A2" s="2" t="s">
        <v>2</v>
      </c>
      <c r="B2" s="129" t="s">
        <v>31</v>
      </c>
      <c r="C2" s="129"/>
      <c r="D2" s="129"/>
      <c r="E2" s="2"/>
    </row>
    <row r="3" spans="1:13" ht="21" thickBot="1" x14ac:dyDescent="0.35">
      <c r="A3" s="2"/>
      <c r="B3" s="129"/>
      <c r="C3" s="129"/>
      <c r="D3" s="129"/>
      <c r="E3" s="2"/>
    </row>
    <row r="4" spans="1:13" ht="22" thickTop="1" thickBot="1" x14ac:dyDescent="0.35">
      <c r="A4" s="6" t="s">
        <v>3</v>
      </c>
      <c r="B4" s="123" t="s">
        <v>40</v>
      </c>
      <c r="C4" s="124"/>
      <c r="D4" s="124"/>
      <c r="E4" s="124"/>
      <c r="F4" s="124"/>
      <c r="G4" s="124"/>
      <c r="H4" s="130"/>
      <c r="I4" s="130"/>
      <c r="J4" s="130"/>
      <c r="K4" s="130"/>
      <c r="L4" s="130"/>
      <c r="M4" s="131"/>
    </row>
    <row r="5" spans="1:13" ht="21" thickBot="1" x14ac:dyDescent="0.35">
      <c r="A5" s="4" t="s">
        <v>5</v>
      </c>
      <c r="B5" s="128" t="s">
        <v>7</v>
      </c>
      <c r="C5" s="128"/>
      <c r="D5" s="128" t="s">
        <v>9</v>
      </c>
      <c r="E5" s="128"/>
      <c r="F5" s="128" t="s">
        <v>11</v>
      </c>
      <c r="G5" s="128"/>
      <c r="H5" s="128" t="s">
        <v>15</v>
      </c>
      <c r="I5" s="128"/>
      <c r="J5" s="128" t="s">
        <v>17</v>
      </c>
      <c r="K5" s="128"/>
      <c r="L5" s="128" t="s">
        <v>19</v>
      </c>
      <c r="M5" s="128"/>
    </row>
    <row r="6" spans="1:13" ht="21" thickTop="1" x14ac:dyDescent="0.3">
      <c r="A6" s="7" t="s">
        <v>38</v>
      </c>
      <c r="B6" s="8">
        <v>1</v>
      </c>
      <c r="C6" s="15">
        <v>1</v>
      </c>
      <c r="D6" s="17"/>
      <c r="E6" s="15"/>
      <c r="F6" s="9">
        <v>0</v>
      </c>
      <c r="G6" s="9">
        <v>4</v>
      </c>
      <c r="H6" s="19"/>
      <c r="I6" s="20"/>
      <c r="J6" s="9"/>
      <c r="K6" s="9"/>
      <c r="L6" s="19"/>
      <c r="M6" s="10"/>
    </row>
    <row r="7" spans="1:13" x14ac:dyDescent="0.3">
      <c r="A7" s="33" t="s">
        <v>39</v>
      </c>
      <c r="B7" s="34">
        <v>0</v>
      </c>
      <c r="C7" s="35">
        <v>1</v>
      </c>
      <c r="D7" s="36">
        <v>1</v>
      </c>
      <c r="E7" s="35"/>
      <c r="F7" s="37"/>
      <c r="G7" s="37"/>
      <c r="H7" s="38"/>
      <c r="I7" s="39"/>
      <c r="J7" s="37">
        <v>0</v>
      </c>
      <c r="K7" s="37"/>
      <c r="L7" s="38"/>
      <c r="M7" s="40"/>
    </row>
    <row r="8" spans="1:13" x14ac:dyDescent="0.3">
      <c r="A8" s="11" t="s">
        <v>20</v>
      </c>
      <c r="B8" s="12">
        <v>1</v>
      </c>
      <c r="C8" s="16">
        <v>2</v>
      </c>
      <c r="D8" s="18"/>
      <c r="E8" s="16"/>
      <c r="F8" s="13"/>
      <c r="G8" s="13">
        <v>1</v>
      </c>
      <c r="H8" s="21"/>
      <c r="I8" s="22"/>
      <c r="J8" s="13"/>
      <c r="K8" s="13"/>
      <c r="L8" s="21"/>
      <c r="M8" s="14"/>
    </row>
    <row r="9" spans="1:13" x14ac:dyDescent="0.3">
      <c r="A9" s="11" t="s">
        <v>21</v>
      </c>
      <c r="B9" s="12"/>
      <c r="C9" s="16"/>
      <c r="D9" s="18">
        <v>1</v>
      </c>
      <c r="E9" s="16"/>
      <c r="F9" s="13"/>
      <c r="G9" s="13"/>
      <c r="H9" s="21"/>
      <c r="I9" s="22"/>
      <c r="J9" s="13"/>
      <c r="K9" s="13"/>
      <c r="L9" s="21"/>
      <c r="M9" s="14"/>
    </row>
    <row r="10" spans="1:13" x14ac:dyDescent="0.3">
      <c r="A10" s="11" t="s">
        <v>22</v>
      </c>
      <c r="B10" s="12"/>
      <c r="C10" s="16"/>
      <c r="D10" s="18"/>
      <c r="E10" s="16"/>
      <c r="F10" s="13"/>
      <c r="G10" s="13"/>
      <c r="H10" s="21"/>
      <c r="I10" s="22"/>
      <c r="J10" s="13"/>
      <c r="K10" s="13"/>
      <c r="L10" s="21"/>
      <c r="M10" s="14"/>
    </row>
    <row r="11" spans="1:13" x14ac:dyDescent="0.3">
      <c r="A11" s="11" t="s">
        <v>23</v>
      </c>
      <c r="B11" s="12"/>
      <c r="C11" s="16"/>
      <c r="D11" s="18"/>
      <c r="E11" s="16"/>
      <c r="F11" s="13"/>
      <c r="G11" s="13"/>
      <c r="H11" s="21"/>
      <c r="I11" s="22"/>
      <c r="J11" s="13"/>
      <c r="K11" s="13"/>
      <c r="L11" s="21"/>
      <c r="M11" s="14"/>
    </row>
    <row r="12" spans="1:13" x14ac:dyDescent="0.3">
      <c r="A12" s="11" t="s">
        <v>24</v>
      </c>
      <c r="B12" s="12"/>
      <c r="C12" s="16"/>
      <c r="D12" s="18"/>
      <c r="E12" s="16"/>
      <c r="F12" s="13"/>
      <c r="G12" s="13"/>
      <c r="H12" s="21"/>
      <c r="I12" s="22"/>
      <c r="J12" s="13"/>
      <c r="K12" s="13"/>
      <c r="L12" s="21"/>
      <c r="M12" s="14"/>
    </row>
    <row r="13" spans="1:13" x14ac:dyDescent="0.3">
      <c r="A13" s="11" t="s">
        <v>25</v>
      </c>
      <c r="B13" s="12"/>
      <c r="C13" s="16"/>
      <c r="D13" s="18"/>
      <c r="E13" s="16"/>
      <c r="F13" s="13"/>
      <c r="G13" s="13"/>
      <c r="H13" s="21"/>
      <c r="I13" s="22"/>
      <c r="J13" s="13"/>
      <c r="K13" s="13"/>
      <c r="L13" s="21"/>
      <c r="M13" s="14"/>
    </row>
    <row r="14" spans="1:13" x14ac:dyDescent="0.3">
      <c r="A14" s="11" t="s">
        <v>26</v>
      </c>
      <c r="B14" s="12"/>
      <c r="C14" s="16"/>
      <c r="D14" s="18"/>
      <c r="E14" s="16"/>
      <c r="F14" s="13"/>
      <c r="G14" s="13"/>
      <c r="H14" s="21"/>
      <c r="I14" s="22"/>
      <c r="J14" s="13"/>
      <c r="K14" s="13"/>
      <c r="L14" s="21"/>
      <c r="M14" s="14"/>
    </row>
    <row r="15" spans="1:13" x14ac:dyDescent="0.3">
      <c r="A15" s="11" t="s">
        <v>27</v>
      </c>
      <c r="B15" s="12"/>
      <c r="C15" s="16"/>
      <c r="D15" s="18"/>
      <c r="E15" s="16"/>
      <c r="F15" s="13"/>
      <c r="G15" s="13"/>
      <c r="H15" s="21"/>
      <c r="I15" s="22"/>
      <c r="J15" s="13"/>
      <c r="K15" s="13"/>
      <c r="L15" s="21"/>
      <c r="M15" s="14"/>
    </row>
    <row r="16" spans="1:13" x14ac:dyDescent="0.3">
      <c r="A16" s="11" t="s">
        <v>28</v>
      </c>
      <c r="B16" s="12"/>
      <c r="C16" s="16"/>
      <c r="D16" s="18"/>
      <c r="E16" s="16"/>
      <c r="F16" s="13"/>
      <c r="G16" s="13"/>
      <c r="H16" s="21"/>
      <c r="I16" s="22"/>
      <c r="J16" s="13"/>
      <c r="K16" s="13"/>
      <c r="L16" s="21"/>
      <c r="M16" s="14"/>
    </row>
    <row r="17" spans="1:13" x14ac:dyDescent="0.3">
      <c r="A17" s="11" t="s">
        <v>29</v>
      </c>
      <c r="B17" s="12"/>
      <c r="C17" s="16"/>
      <c r="D17" s="18"/>
      <c r="E17" s="16"/>
      <c r="F17" s="13"/>
      <c r="G17" s="13"/>
      <c r="H17" s="21"/>
      <c r="I17" s="22"/>
      <c r="J17" s="13"/>
      <c r="K17" s="13"/>
      <c r="L17" s="21"/>
      <c r="M17" s="14"/>
    </row>
    <row r="18" spans="1:13" ht="21" thickBot="1" x14ac:dyDescent="0.35">
      <c r="A18" s="23" t="s">
        <v>30</v>
      </c>
      <c r="B18" s="24"/>
      <c r="C18" s="25"/>
      <c r="D18" s="26"/>
      <c r="E18" s="25"/>
      <c r="F18" s="27"/>
      <c r="G18" s="27"/>
      <c r="H18" s="28"/>
      <c r="I18" s="29"/>
      <c r="J18" s="27"/>
      <c r="K18" s="27"/>
      <c r="L18" s="28"/>
      <c r="M18" s="30"/>
    </row>
    <row r="19" spans="1:13" ht="22" thickTop="1" thickBot="1" x14ac:dyDescent="0.35">
      <c r="A19" s="31" t="s">
        <v>33</v>
      </c>
      <c r="B19" s="32">
        <f t="shared" ref="B19:M19" si="0">SUM(B6:B18)</f>
        <v>2</v>
      </c>
      <c r="C19" s="32">
        <f t="shared" si="0"/>
        <v>4</v>
      </c>
      <c r="D19" s="32">
        <f t="shared" si="0"/>
        <v>2</v>
      </c>
      <c r="E19" s="32">
        <f t="shared" si="0"/>
        <v>0</v>
      </c>
      <c r="F19" s="32">
        <f t="shared" si="0"/>
        <v>0</v>
      </c>
      <c r="G19" s="32">
        <f t="shared" si="0"/>
        <v>5</v>
      </c>
      <c r="H19" s="32">
        <f t="shared" si="0"/>
        <v>0</v>
      </c>
      <c r="I19" s="32">
        <f t="shared" si="0"/>
        <v>0</v>
      </c>
      <c r="J19" s="32">
        <f t="shared" si="0"/>
        <v>0</v>
      </c>
      <c r="K19" s="32">
        <f t="shared" si="0"/>
        <v>0</v>
      </c>
      <c r="L19" s="32">
        <f t="shared" si="0"/>
        <v>0</v>
      </c>
      <c r="M19" s="32">
        <f t="shared" si="0"/>
        <v>0</v>
      </c>
    </row>
    <row r="20" spans="1:13" ht="21" thickTop="1" x14ac:dyDescent="0.3">
      <c r="A20" s="2"/>
      <c r="B20" s="2" t="s">
        <v>35</v>
      </c>
      <c r="C20" s="2" t="s">
        <v>37</v>
      </c>
      <c r="D20" s="2" t="s">
        <v>35</v>
      </c>
      <c r="E20" s="2" t="s">
        <v>37</v>
      </c>
      <c r="F20" s="2" t="s">
        <v>35</v>
      </c>
      <c r="G20" s="2" t="s">
        <v>37</v>
      </c>
      <c r="H20" s="2" t="s">
        <v>35</v>
      </c>
      <c r="I20" s="2" t="s">
        <v>37</v>
      </c>
      <c r="J20" s="2" t="s">
        <v>35</v>
      </c>
      <c r="K20" s="2" t="s">
        <v>37</v>
      </c>
      <c r="L20" s="2" t="s">
        <v>35</v>
      </c>
      <c r="M20" s="2" t="s">
        <v>37</v>
      </c>
    </row>
    <row r="21" spans="1:13" ht="21" thickBot="1" x14ac:dyDescent="0.35">
      <c r="A21" s="2"/>
      <c r="B21" s="2"/>
      <c r="C21" s="2"/>
      <c r="D21" s="2"/>
      <c r="E21" s="2"/>
    </row>
    <row r="22" spans="1:13" ht="22" thickTop="1" thickBot="1" x14ac:dyDescent="0.35">
      <c r="A22" s="6"/>
      <c r="B22" s="123" t="s">
        <v>13</v>
      </c>
      <c r="C22" s="124"/>
      <c r="D22" s="124"/>
      <c r="E22" s="124"/>
      <c r="F22" s="124"/>
      <c r="G22" s="124"/>
      <c r="H22" s="130"/>
      <c r="I22" s="130"/>
      <c r="J22" s="130"/>
      <c r="K22" s="130"/>
      <c r="L22" s="130"/>
      <c r="M22" s="131"/>
    </row>
    <row r="23" spans="1:13" ht="21" thickBot="1" x14ac:dyDescent="0.35">
      <c r="A23" s="4" t="s">
        <v>5</v>
      </c>
      <c r="B23" s="128" t="s">
        <v>7</v>
      </c>
      <c r="C23" s="128"/>
      <c r="D23" s="128" t="s">
        <v>9</v>
      </c>
      <c r="E23" s="128"/>
      <c r="F23" s="128" t="s">
        <v>11</v>
      </c>
      <c r="G23" s="128"/>
      <c r="H23" s="128" t="s">
        <v>15</v>
      </c>
      <c r="I23" s="128"/>
      <c r="J23" s="128" t="s">
        <v>17</v>
      </c>
      <c r="K23" s="128"/>
      <c r="L23" s="128" t="s">
        <v>19</v>
      </c>
      <c r="M23" s="128"/>
    </row>
    <row r="24" spans="1:13" ht="21" thickTop="1" x14ac:dyDescent="0.3">
      <c r="A24" s="7" t="s">
        <v>38</v>
      </c>
      <c r="B24" s="8">
        <v>1</v>
      </c>
      <c r="C24" s="15">
        <v>0</v>
      </c>
      <c r="D24" s="17">
        <v>0</v>
      </c>
      <c r="E24" s="15">
        <v>0</v>
      </c>
      <c r="F24" s="9">
        <v>0</v>
      </c>
      <c r="G24" s="9">
        <v>1</v>
      </c>
      <c r="H24" s="19">
        <v>0</v>
      </c>
      <c r="I24" s="19">
        <v>0</v>
      </c>
      <c r="J24" s="9">
        <v>0</v>
      </c>
      <c r="K24" s="9">
        <v>0</v>
      </c>
      <c r="L24" s="19">
        <v>0</v>
      </c>
      <c r="M24" s="10">
        <v>0</v>
      </c>
    </row>
    <row r="25" spans="1:13" x14ac:dyDescent="0.3">
      <c r="A25" s="33" t="s">
        <v>39</v>
      </c>
      <c r="B25" s="34">
        <v>0</v>
      </c>
      <c r="C25" s="35">
        <v>1</v>
      </c>
      <c r="D25" s="36">
        <v>1</v>
      </c>
      <c r="E25" s="35">
        <v>0</v>
      </c>
      <c r="F25" s="37">
        <v>0</v>
      </c>
      <c r="G25" s="37">
        <v>0</v>
      </c>
      <c r="H25" s="38">
        <v>0</v>
      </c>
      <c r="I25" s="39">
        <v>0</v>
      </c>
      <c r="J25" s="37">
        <v>0</v>
      </c>
      <c r="K25" s="37">
        <v>0</v>
      </c>
      <c r="L25" s="38"/>
      <c r="M25" s="40"/>
    </row>
    <row r="26" spans="1:13" x14ac:dyDescent="0.3">
      <c r="A26" s="11" t="s">
        <v>20</v>
      </c>
      <c r="B26" s="12">
        <v>1</v>
      </c>
      <c r="C26" s="16">
        <v>0</v>
      </c>
      <c r="D26" s="18">
        <v>0</v>
      </c>
      <c r="E26" s="16">
        <v>0</v>
      </c>
      <c r="F26" s="13">
        <v>0</v>
      </c>
      <c r="G26" s="13">
        <v>1</v>
      </c>
      <c r="H26" s="21">
        <v>0</v>
      </c>
      <c r="I26" s="22">
        <v>0</v>
      </c>
      <c r="J26" s="37">
        <v>0</v>
      </c>
      <c r="K26" s="13">
        <v>0</v>
      </c>
      <c r="L26" s="21"/>
      <c r="M26" s="14"/>
    </row>
    <row r="27" spans="1:13" x14ac:dyDescent="0.3">
      <c r="A27" s="11" t="s">
        <v>21</v>
      </c>
      <c r="B27" s="12">
        <v>0</v>
      </c>
      <c r="C27" s="16">
        <v>1</v>
      </c>
      <c r="D27" s="18">
        <v>1</v>
      </c>
      <c r="E27" s="16">
        <v>1</v>
      </c>
      <c r="F27" s="13">
        <v>0</v>
      </c>
      <c r="G27" s="13">
        <v>1</v>
      </c>
      <c r="H27" s="21">
        <v>0</v>
      </c>
      <c r="I27" s="22">
        <v>0</v>
      </c>
      <c r="J27" s="37">
        <v>0</v>
      </c>
      <c r="K27" s="13">
        <v>1</v>
      </c>
      <c r="L27" s="21"/>
      <c r="M27" s="14"/>
    </row>
    <row r="28" spans="1:13" x14ac:dyDescent="0.3">
      <c r="A28" s="11" t="s">
        <v>22</v>
      </c>
      <c r="B28" s="12">
        <v>1</v>
      </c>
      <c r="C28" s="16">
        <v>0</v>
      </c>
      <c r="D28" s="18">
        <v>0</v>
      </c>
      <c r="E28" s="16">
        <v>0</v>
      </c>
      <c r="F28" s="13">
        <v>0</v>
      </c>
      <c r="G28" s="13">
        <v>1</v>
      </c>
      <c r="H28" s="21">
        <v>0</v>
      </c>
      <c r="I28" s="22">
        <v>0</v>
      </c>
      <c r="J28" s="37">
        <v>0</v>
      </c>
      <c r="K28" s="13">
        <v>0</v>
      </c>
      <c r="L28" s="21"/>
      <c r="M28" s="14"/>
    </row>
    <row r="29" spans="1:13" x14ac:dyDescent="0.3">
      <c r="A29" s="11" t="s">
        <v>23</v>
      </c>
      <c r="B29" s="12">
        <v>1</v>
      </c>
      <c r="C29" s="16">
        <v>0</v>
      </c>
      <c r="D29" s="18">
        <v>0</v>
      </c>
      <c r="E29" s="16">
        <v>0</v>
      </c>
      <c r="F29" s="13">
        <v>0</v>
      </c>
      <c r="G29" s="13">
        <v>0</v>
      </c>
      <c r="H29" s="21">
        <v>0</v>
      </c>
      <c r="I29" s="22">
        <v>0</v>
      </c>
      <c r="J29" s="37">
        <v>0</v>
      </c>
      <c r="K29" s="13">
        <v>0</v>
      </c>
      <c r="L29" s="21"/>
      <c r="M29" s="14"/>
    </row>
    <row r="30" spans="1:13" x14ac:dyDescent="0.3">
      <c r="A30" s="53" t="s">
        <v>59</v>
      </c>
      <c r="B30" s="12">
        <v>1</v>
      </c>
      <c r="C30" s="16">
        <v>0</v>
      </c>
      <c r="D30" s="18">
        <v>0</v>
      </c>
      <c r="E30" s="16">
        <v>1</v>
      </c>
      <c r="F30" s="13">
        <v>0</v>
      </c>
      <c r="G30" s="13">
        <v>1</v>
      </c>
      <c r="H30" s="21">
        <v>0</v>
      </c>
      <c r="I30" s="22">
        <v>0</v>
      </c>
      <c r="J30" s="37">
        <v>0</v>
      </c>
      <c r="K30" s="13">
        <v>1</v>
      </c>
      <c r="L30" s="21"/>
      <c r="M30" s="14"/>
    </row>
    <row r="31" spans="1:13" x14ac:dyDescent="0.3">
      <c r="A31" s="11" t="s">
        <v>25</v>
      </c>
      <c r="B31" s="12">
        <v>1</v>
      </c>
      <c r="C31" s="16">
        <v>0</v>
      </c>
      <c r="D31" s="18">
        <v>0</v>
      </c>
      <c r="E31" s="16">
        <v>0</v>
      </c>
      <c r="F31" s="13">
        <v>0</v>
      </c>
      <c r="G31" s="13">
        <v>1</v>
      </c>
      <c r="H31" s="21">
        <v>0</v>
      </c>
      <c r="I31" s="22">
        <v>0</v>
      </c>
      <c r="J31" s="37">
        <v>0</v>
      </c>
      <c r="K31" s="13">
        <v>0</v>
      </c>
      <c r="L31" s="21"/>
      <c r="M31" s="14"/>
    </row>
    <row r="32" spans="1:13" x14ac:dyDescent="0.3">
      <c r="A32" s="11" t="s">
        <v>26</v>
      </c>
      <c r="B32" s="12">
        <v>1</v>
      </c>
      <c r="C32" s="16">
        <v>0</v>
      </c>
      <c r="D32" s="18">
        <v>0</v>
      </c>
      <c r="E32" s="16">
        <v>0</v>
      </c>
      <c r="F32" s="13">
        <v>0</v>
      </c>
      <c r="G32" s="13">
        <v>0</v>
      </c>
      <c r="H32" s="21">
        <v>0</v>
      </c>
      <c r="I32" s="22">
        <v>0</v>
      </c>
      <c r="J32" s="37">
        <v>0</v>
      </c>
      <c r="K32" s="13">
        <v>0</v>
      </c>
      <c r="L32" s="21"/>
      <c r="M32" s="14"/>
    </row>
    <row r="33" spans="1:13" x14ac:dyDescent="0.3">
      <c r="A33" s="11" t="s">
        <v>27</v>
      </c>
      <c r="B33" s="12">
        <v>1</v>
      </c>
      <c r="C33" s="16">
        <v>0</v>
      </c>
      <c r="D33" s="18">
        <v>0</v>
      </c>
      <c r="E33" s="16">
        <v>0</v>
      </c>
      <c r="F33" s="13">
        <v>0</v>
      </c>
      <c r="G33" s="13">
        <v>0</v>
      </c>
      <c r="H33" s="21">
        <v>0</v>
      </c>
      <c r="I33" s="22">
        <v>0</v>
      </c>
      <c r="J33" s="37">
        <v>0</v>
      </c>
      <c r="K33" s="13">
        <v>0</v>
      </c>
      <c r="L33" s="21"/>
      <c r="M33" s="14"/>
    </row>
    <row r="34" spans="1:13" x14ac:dyDescent="0.3">
      <c r="A34" s="11" t="s">
        <v>28</v>
      </c>
      <c r="B34" s="12">
        <v>1</v>
      </c>
      <c r="C34" s="16">
        <v>0</v>
      </c>
      <c r="D34" s="18">
        <v>0</v>
      </c>
      <c r="E34" s="16">
        <v>0</v>
      </c>
      <c r="F34" s="13">
        <v>0</v>
      </c>
      <c r="G34" s="13">
        <v>0</v>
      </c>
      <c r="H34" s="21">
        <v>0</v>
      </c>
      <c r="I34" s="22">
        <v>0</v>
      </c>
      <c r="J34" s="37">
        <v>0</v>
      </c>
      <c r="K34" s="13">
        <v>0</v>
      </c>
      <c r="L34" s="21"/>
      <c r="M34" s="14"/>
    </row>
    <row r="35" spans="1:13" x14ac:dyDescent="0.3">
      <c r="A35" s="11" t="s">
        <v>29</v>
      </c>
      <c r="B35" s="12">
        <v>0</v>
      </c>
      <c r="C35" s="16">
        <v>1</v>
      </c>
      <c r="D35" s="18">
        <v>1</v>
      </c>
      <c r="E35" s="16">
        <v>1</v>
      </c>
      <c r="F35" s="13">
        <v>0</v>
      </c>
      <c r="G35" s="13">
        <v>0</v>
      </c>
      <c r="H35" s="21">
        <v>0</v>
      </c>
      <c r="I35" s="22">
        <v>0</v>
      </c>
      <c r="J35" s="37">
        <v>0</v>
      </c>
      <c r="K35" s="13">
        <v>1</v>
      </c>
      <c r="L35" s="21"/>
      <c r="M35" s="14"/>
    </row>
    <row r="36" spans="1:13" ht="21" thickBot="1" x14ac:dyDescent="0.35">
      <c r="A36" s="23" t="s">
        <v>30</v>
      </c>
      <c r="B36" s="24">
        <v>0</v>
      </c>
      <c r="C36" s="25">
        <v>1</v>
      </c>
      <c r="D36" s="26">
        <v>1</v>
      </c>
      <c r="E36" s="25">
        <v>1</v>
      </c>
      <c r="F36" s="27">
        <v>0</v>
      </c>
      <c r="G36" s="27">
        <v>1</v>
      </c>
      <c r="H36" s="21">
        <v>0</v>
      </c>
      <c r="I36" s="22">
        <v>0</v>
      </c>
      <c r="J36" s="37">
        <v>0</v>
      </c>
      <c r="K36" s="27">
        <v>1</v>
      </c>
      <c r="L36" s="28"/>
      <c r="M36" s="30"/>
    </row>
    <row r="37" spans="1:13" ht="22" thickTop="1" thickBot="1" x14ac:dyDescent="0.35">
      <c r="A37" s="31" t="s">
        <v>33</v>
      </c>
      <c r="B37" s="32">
        <f t="shared" ref="B37:M37" si="1">SUM(B24:B36)</f>
        <v>9</v>
      </c>
      <c r="C37" s="32">
        <f t="shared" si="1"/>
        <v>4</v>
      </c>
      <c r="D37" s="32">
        <f t="shared" si="1"/>
        <v>4</v>
      </c>
      <c r="E37" s="32">
        <f t="shared" si="1"/>
        <v>4</v>
      </c>
      <c r="F37" s="32">
        <f t="shared" si="1"/>
        <v>0</v>
      </c>
      <c r="G37" s="32">
        <f t="shared" si="1"/>
        <v>7</v>
      </c>
      <c r="H37" s="32">
        <f t="shared" si="1"/>
        <v>0</v>
      </c>
      <c r="I37" s="32">
        <f t="shared" si="1"/>
        <v>0</v>
      </c>
      <c r="J37" s="32">
        <f t="shared" si="1"/>
        <v>0</v>
      </c>
      <c r="K37" s="32">
        <f t="shared" si="1"/>
        <v>4</v>
      </c>
      <c r="L37" s="32">
        <f t="shared" si="1"/>
        <v>0</v>
      </c>
      <c r="M37" s="32">
        <f t="shared" si="1"/>
        <v>0</v>
      </c>
    </row>
    <row r="38" spans="1:13" ht="21" thickTop="1" x14ac:dyDescent="0.3">
      <c r="A38" s="2"/>
      <c r="B38" s="2" t="s">
        <v>35</v>
      </c>
      <c r="C38" s="2" t="s">
        <v>37</v>
      </c>
      <c r="D38" s="2" t="s">
        <v>35</v>
      </c>
      <c r="E38" s="2" t="s">
        <v>37</v>
      </c>
      <c r="F38" s="2" t="s">
        <v>35</v>
      </c>
      <c r="G38" s="2" t="s">
        <v>37</v>
      </c>
      <c r="H38" s="2" t="s">
        <v>35</v>
      </c>
      <c r="I38" s="2" t="s">
        <v>37</v>
      </c>
      <c r="J38" s="2" t="s">
        <v>35</v>
      </c>
      <c r="K38" s="2" t="s">
        <v>37</v>
      </c>
      <c r="L38" s="2" t="s">
        <v>35</v>
      </c>
      <c r="M38" s="2" t="s">
        <v>37</v>
      </c>
    </row>
    <row r="39" spans="1:13" x14ac:dyDescent="0.3">
      <c r="A39" s="41" t="s">
        <v>42</v>
      </c>
      <c r="B39" s="42">
        <f t="shared" ref="B39:M39" si="2">AVERAGE(B24:B36)</f>
        <v>0.69230769230769229</v>
      </c>
      <c r="C39" s="42">
        <f t="shared" si="2"/>
        <v>0.30769230769230771</v>
      </c>
      <c r="D39" s="42">
        <f t="shared" si="2"/>
        <v>0.30769230769230771</v>
      </c>
      <c r="E39" s="42">
        <f t="shared" si="2"/>
        <v>0.30769230769230771</v>
      </c>
      <c r="F39" s="42">
        <f t="shared" si="2"/>
        <v>0</v>
      </c>
      <c r="G39" s="42">
        <f t="shared" si="2"/>
        <v>0.53846153846153844</v>
      </c>
      <c r="H39" s="42">
        <f t="shared" si="2"/>
        <v>0</v>
      </c>
      <c r="I39" s="42">
        <f t="shared" si="2"/>
        <v>0</v>
      </c>
      <c r="J39" s="42">
        <f t="shared" si="2"/>
        <v>0</v>
      </c>
      <c r="K39" s="42">
        <f t="shared" si="2"/>
        <v>0.30769230769230771</v>
      </c>
      <c r="L39" s="42">
        <f t="shared" si="2"/>
        <v>0</v>
      </c>
      <c r="M39" s="42">
        <f t="shared" si="2"/>
        <v>0</v>
      </c>
    </row>
    <row r="40" spans="1:13" x14ac:dyDescent="0.3">
      <c r="A40" s="1" t="s">
        <v>44</v>
      </c>
      <c r="B40" s="121">
        <f>SUM(B39,C39)</f>
        <v>1</v>
      </c>
      <c r="C40" s="122"/>
      <c r="D40" s="121">
        <f t="shared" ref="D40" si="3">SUM(D39,E39)</f>
        <v>0.61538461538461542</v>
      </c>
      <c r="E40" s="122"/>
      <c r="F40" s="121">
        <f t="shared" ref="F40" si="4">SUM(F39,G39)</f>
        <v>0.53846153846153844</v>
      </c>
      <c r="G40" s="122"/>
      <c r="H40" s="121">
        <f t="shared" ref="H40" si="5">SUM(H39,I39)</f>
        <v>0</v>
      </c>
      <c r="I40" s="122"/>
      <c r="J40" s="121">
        <f t="shared" ref="J40" si="6">SUM(J39,K39)</f>
        <v>0.30769230769230771</v>
      </c>
      <c r="K40" s="122"/>
      <c r="L40" s="121">
        <f t="shared" ref="L40" si="7">SUM(L39,M39)</f>
        <v>0</v>
      </c>
      <c r="M40" s="122"/>
    </row>
    <row r="41" spans="1:13" ht="21" thickBot="1" x14ac:dyDescent="0.35"/>
    <row r="42" spans="1:13" ht="22" thickTop="1" thickBot="1" x14ac:dyDescent="0.35">
      <c r="A42" s="6" t="s">
        <v>61</v>
      </c>
      <c r="B42" s="123" t="s">
        <v>13</v>
      </c>
      <c r="C42" s="124"/>
      <c r="D42" s="124"/>
      <c r="E42" s="124"/>
      <c r="F42" s="124"/>
      <c r="G42" s="124"/>
      <c r="H42" s="124"/>
      <c r="I42" s="124"/>
      <c r="J42" s="124"/>
      <c r="K42" s="124"/>
      <c r="L42" s="124"/>
      <c r="M42" s="125"/>
    </row>
    <row r="43" spans="1:13" ht="21" thickBot="1" x14ac:dyDescent="0.35">
      <c r="A43" s="4" t="s">
        <v>5</v>
      </c>
      <c r="B43" s="126" t="s">
        <v>7</v>
      </c>
      <c r="C43" s="127"/>
      <c r="D43" s="126" t="s">
        <v>9</v>
      </c>
      <c r="E43" s="127"/>
      <c r="F43" s="126" t="s">
        <v>11</v>
      </c>
      <c r="G43" s="127"/>
      <c r="H43" s="126" t="s">
        <v>15</v>
      </c>
      <c r="I43" s="127"/>
      <c r="J43" s="126" t="s">
        <v>17</v>
      </c>
      <c r="K43" s="127"/>
      <c r="L43" s="126" t="s">
        <v>19</v>
      </c>
      <c r="M43" s="127"/>
    </row>
    <row r="44" spans="1:13" ht="21" thickTop="1" x14ac:dyDescent="0.3">
      <c r="A44" s="7" t="s">
        <v>46</v>
      </c>
      <c r="B44" s="8">
        <v>0</v>
      </c>
      <c r="C44" s="8">
        <v>0</v>
      </c>
      <c r="D44" s="8">
        <v>0</v>
      </c>
      <c r="E44" s="8">
        <v>0</v>
      </c>
      <c r="F44" s="8">
        <v>1</v>
      </c>
      <c r="G44" s="8">
        <v>0</v>
      </c>
      <c r="H44" s="8">
        <v>0</v>
      </c>
      <c r="I44" s="8">
        <v>0</v>
      </c>
      <c r="J44" s="8">
        <v>0</v>
      </c>
      <c r="K44" s="8">
        <v>0</v>
      </c>
      <c r="L44" s="8">
        <v>0</v>
      </c>
      <c r="M44" s="8">
        <v>0</v>
      </c>
    </row>
    <row r="45" spans="1:13" x14ac:dyDescent="0.3">
      <c r="A45" s="33" t="s">
        <v>47</v>
      </c>
      <c r="B45" s="34">
        <v>1</v>
      </c>
      <c r="C45" s="35">
        <v>0</v>
      </c>
      <c r="D45" s="36">
        <v>0</v>
      </c>
      <c r="E45" s="35">
        <v>0</v>
      </c>
      <c r="F45" s="43">
        <v>0</v>
      </c>
      <c r="G45" s="43">
        <v>0</v>
      </c>
      <c r="H45" s="44">
        <v>0</v>
      </c>
      <c r="I45" s="45">
        <v>0</v>
      </c>
      <c r="J45" s="43">
        <v>0</v>
      </c>
      <c r="K45" s="43">
        <v>0</v>
      </c>
      <c r="L45" s="44">
        <v>0</v>
      </c>
      <c r="M45" s="46">
        <v>0</v>
      </c>
    </row>
    <row r="46" spans="1:13" x14ac:dyDescent="0.3">
      <c r="A46" s="52" t="s">
        <v>48</v>
      </c>
      <c r="B46" s="12">
        <v>0</v>
      </c>
      <c r="C46" s="16">
        <v>1</v>
      </c>
      <c r="D46" s="18">
        <v>1</v>
      </c>
      <c r="E46" s="16">
        <v>0</v>
      </c>
      <c r="F46" s="47">
        <v>0</v>
      </c>
      <c r="G46" s="47">
        <v>1</v>
      </c>
      <c r="H46" s="48">
        <v>0</v>
      </c>
      <c r="I46" s="49">
        <v>1</v>
      </c>
      <c r="J46" s="43">
        <v>0</v>
      </c>
      <c r="K46" s="47">
        <v>1</v>
      </c>
      <c r="L46" s="48">
        <v>0</v>
      </c>
      <c r="M46" s="50">
        <v>0</v>
      </c>
    </row>
    <row r="47" spans="1:13" x14ac:dyDescent="0.3">
      <c r="A47" s="51" t="s">
        <v>49</v>
      </c>
      <c r="B47" s="12">
        <v>0</v>
      </c>
      <c r="C47" s="16">
        <v>1</v>
      </c>
      <c r="D47" s="18">
        <v>1</v>
      </c>
      <c r="E47" s="16">
        <v>0</v>
      </c>
      <c r="F47" s="47">
        <v>0</v>
      </c>
      <c r="G47" s="47">
        <v>1</v>
      </c>
      <c r="H47" s="48">
        <v>0</v>
      </c>
      <c r="I47" s="49">
        <v>0</v>
      </c>
      <c r="J47" s="43">
        <v>0</v>
      </c>
      <c r="K47" s="47">
        <v>1</v>
      </c>
      <c r="L47" s="48">
        <v>0</v>
      </c>
      <c r="M47" s="50">
        <v>0</v>
      </c>
    </row>
    <row r="48" spans="1:13" x14ac:dyDescent="0.3">
      <c r="A48" s="33" t="s">
        <v>58</v>
      </c>
      <c r="B48" s="12">
        <v>1</v>
      </c>
      <c r="C48" s="16">
        <v>0</v>
      </c>
      <c r="D48" s="18">
        <v>0</v>
      </c>
      <c r="E48" s="16">
        <v>0</v>
      </c>
      <c r="F48" s="47">
        <v>0</v>
      </c>
      <c r="G48" s="47">
        <v>1</v>
      </c>
      <c r="H48" s="48">
        <v>0</v>
      </c>
      <c r="I48" s="49">
        <v>0</v>
      </c>
      <c r="J48" s="43">
        <v>0</v>
      </c>
      <c r="K48" s="47">
        <v>0</v>
      </c>
      <c r="L48" s="48">
        <v>0</v>
      </c>
      <c r="M48" s="50">
        <v>0</v>
      </c>
    </row>
    <row r="49" spans="1:15" x14ac:dyDescent="0.3">
      <c r="A49" s="33" t="s">
        <v>50</v>
      </c>
      <c r="B49" s="12">
        <v>0</v>
      </c>
      <c r="C49" s="16">
        <v>1</v>
      </c>
      <c r="D49" s="18">
        <v>1</v>
      </c>
      <c r="E49" s="16">
        <v>0</v>
      </c>
      <c r="F49" s="47">
        <v>0</v>
      </c>
      <c r="G49" s="47">
        <v>0</v>
      </c>
      <c r="H49" s="48">
        <v>0</v>
      </c>
      <c r="I49" s="49">
        <v>0</v>
      </c>
      <c r="J49" s="43">
        <v>0</v>
      </c>
      <c r="K49" s="47">
        <v>1</v>
      </c>
      <c r="L49" s="48">
        <v>0</v>
      </c>
      <c r="M49" s="50">
        <v>0</v>
      </c>
    </row>
    <row r="50" spans="1:15" x14ac:dyDescent="0.3">
      <c r="A50" s="33" t="s">
        <v>51</v>
      </c>
      <c r="B50" s="12">
        <v>1</v>
      </c>
      <c r="C50" s="16">
        <v>0</v>
      </c>
      <c r="D50" s="18">
        <v>0</v>
      </c>
      <c r="E50" s="16">
        <v>0</v>
      </c>
      <c r="F50" s="47">
        <v>0</v>
      </c>
      <c r="G50" s="47">
        <v>1</v>
      </c>
      <c r="H50" s="48">
        <v>0</v>
      </c>
      <c r="I50" s="49">
        <v>0</v>
      </c>
      <c r="J50" s="43">
        <v>0</v>
      </c>
      <c r="K50" s="47">
        <v>0</v>
      </c>
      <c r="L50" s="48">
        <v>0</v>
      </c>
      <c r="M50" s="50">
        <v>0</v>
      </c>
    </row>
    <row r="51" spans="1:15" x14ac:dyDescent="0.3">
      <c r="A51" s="33" t="s">
        <v>52</v>
      </c>
      <c r="B51" s="12">
        <v>1</v>
      </c>
      <c r="C51" s="16">
        <v>0</v>
      </c>
      <c r="D51" s="18">
        <v>0</v>
      </c>
      <c r="E51" s="16">
        <v>0</v>
      </c>
      <c r="F51" s="47">
        <v>0</v>
      </c>
      <c r="G51" s="47">
        <v>0</v>
      </c>
      <c r="H51" s="48">
        <v>0</v>
      </c>
      <c r="I51" s="49">
        <v>0</v>
      </c>
      <c r="J51" s="43">
        <v>0</v>
      </c>
      <c r="K51" s="47">
        <v>0</v>
      </c>
      <c r="L51" s="48">
        <v>0</v>
      </c>
      <c r="M51" s="50">
        <v>0</v>
      </c>
    </row>
    <row r="52" spans="1:15" x14ac:dyDescent="0.3">
      <c r="A52" s="33" t="s">
        <v>53</v>
      </c>
      <c r="B52" s="12">
        <v>1</v>
      </c>
      <c r="C52" s="16">
        <v>0</v>
      </c>
      <c r="D52" s="18">
        <v>0</v>
      </c>
      <c r="E52" s="16">
        <v>0</v>
      </c>
      <c r="F52" s="47">
        <v>0</v>
      </c>
      <c r="G52" s="47">
        <v>0</v>
      </c>
      <c r="H52" s="48">
        <v>0</v>
      </c>
      <c r="I52" s="49">
        <v>0</v>
      </c>
      <c r="J52" s="43">
        <v>0</v>
      </c>
      <c r="K52" s="47">
        <v>0</v>
      </c>
      <c r="L52" s="48">
        <v>0</v>
      </c>
      <c r="M52" s="50">
        <v>0</v>
      </c>
    </row>
    <row r="53" spans="1:15" x14ac:dyDescent="0.3">
      <c r="A53" s="33" t="s">
        <v>54</v>
      </c>
      <c r="B53" s="12">
        <v>1</v>
      </c>
      <c r="C53" s="16">
        <v>0</v>
      </c>
      <c r="D53" s="18">
        <v>0</v>
      </c>
      <c r="E53" s="16">
        <v>0</v>
      </c>
      <c r="F53" s="47">
        <v>0</v>
      </c>
      <c r="G53" s="47">
        <v>0</v>
      </c>
      <c r="H53" s="48">
        <v>0</v>
      </c>
      <c r="I53" s="49">
        <v>0</v>
      </c>
      <c r="J53" s="43">
        <v>0</v>
      </c>
      <c r="K53" s="47">
        <v>0</v>
      </c>
      <c r="L53" s="48">
        <v>0</v>
      </c>
      <c r="M53" s="50">
        <v>0</v>
      </c>
    </row>
    <row r="54" spans="1:15" x14ac:dyDescent="0.3">
      <c r="A54" s="33" t="s">
        <v>55</v>
      </c>
      <c r="B54" s="12">
        <v>1</v>
      </c>
      <c r="C54" s="16">
        <v>0</v>
      </c>
      <c r="D54" s="18">
        <v>0</v>
      </c>
      <c r="E54" s="16">
        <v>0</v>
      </c>
      <c r="F54" s="47">
        <v>0</v>
      </c>
      <c r="G54" s="47">
        <v>0</v>
      </c>
      <c r="H54" s="48">
        <v>0</v>
      </c>
      <c r="I54" s="49">
        <v>0</v>
      </c>
      <c r="J54" s="43">
        <v>0</v>
      </c>
      <c r="K54" s="47">
        <v>0</v>
      </c>
      <c r="L54" s="48">
        <v>0</v>
      </c>
      <c r="M54" s="50">
        <v>0</v>
      </c>
    </row>
    <row r="55" spans="1:15" x14ac:dyDescent="0.3">
      <c r="A55" s="33" t="s">
        <v>56</v>
      </c>
      <c r="B55" s="12">
        <v>1</v>
      </c>
      <c r="C55" s="16">
        <v>0</v>
      </c>
      <c r="D55" s="18">
        <v>0</v>
      </c>
      <c r="E55" s="16">
        <v>0</v>
      </c>
      <c r="F55" s="47">
        <v>0</v>
      </c>
      <c r="G55" s="47">
        <v>0</v>
      </c>
      <c r="H55" s="48">
        <v>0</v>
      </c>
      <c r="I55" s="49">
        <v>0</v>
      </c>
      <c r="J55" s="43">
        <v>0</v>
      </c>
      <c r="K55" s="47">
        <v>0</v>
      </c>
      <c r="L55" s="48">
        <v>0</v>
      </c>
      <c r="M55" s="50">
        <v>0</v>
      </c>
    </row>
    <row r="56" spans="1:15" ht="21" thickBot="1" x14ac:dyDescent="0.35">
      <c r="A56" s="33" t="s">
        <v>57</v>
      </c>
      <c r="B56" s="12">
        <v>0</v>
      </c>
      <c r="C56" s="16">
        <v>1</v>
      </c>
      <c r="D56" s="18">
        <v>1</v>
      </c>
      <c r="E56" s="16">
        <v>0</v>
      </c>
      <c r="F56" s="47">
        <v>0</v>
      </c>
      <c r="G56" s="47">
        <v>1</v>
      </c>
      <c r="H56" s="48">
        <v>0</v>
      </c>
      <c r="I56" s="49">
        <v>0</v>
      </c>
      <c r="J56" s="43">
        <v>0</v>
      </c>
      <c r="K56" s="47">
        <v>1</v>
      </c>
      <c r="L56" s="48">
        <v>0</v>
      </c>
      <c r="M56" s="50">
        <v>0</v>
      </c>
    </row>
    <row r="57" spans="1:15" ht="22" thickTop="1" thickBot="1" x14ac:dyDescent="0.35">
      <c r="A57" s="31" t="s">
        <v>33</v>
      </c>
      <c r="B57" s="32">
        <f t="shared" ref="B57:M57" si="8">SUM(B44:B56)</f>
        <v>8</v>
      </c>
      <c r="C57" s="32">
        <f t="shared" si="8"/>
        <v>4</v>
      </c>
      <c r="D57" s="32">
        <f t="shared" si="8"/>
        <v>4</v>
      </c>
      <c r="E57" s="32">
        <f t="shared" si="8"/>
        <v>0</v>
      </c>
      <c r="F57" s="32">
        <f t="shared" si="8"/>
        <v>1</v>
      </c>
      <c r="G57" s="32">
        <f t="shared" si="8"/>
        <v>5</v>
      </c>
      <c r="H57" s="32">
        <f t="shared" si="8"/>
        <v>0</v>
      </c>
      <c r="I57" s="32">
        <f t="shared" si="8"/>
        <v>1</v>
      </c>
      <c r="J57" s="32">
        <f t="shared" si="8"/>
        <v>0</v>
      </c>
      <c r="K57" s="32">
        <f t="shared" si="8"/>
        <v>4</v>
      </c>
      <c r="L57" s="32">
        <f t="shared" si="8"/>
        <v>0</v>
      </c>
      <c r="M57" s="32">
        <f t="shared" si="8"/>
        <v>0</v>
      </c>
    </row>
    <row r="58" spans="1:15" ht="21" thickTop="1" x14ac:dyDescent="0.3">
      <c r="A58" s="2"/>
      <c r="B58" s="2" t="s">
        <v>35</v>
      </c>
      <c r="C58" s="2" t="s">
        <v>37</v>
      </c>
      <c r="D58" s="2" t="s">
        <v>35</v>
      </c>
      <c r="E58" s="2" t="s">
        <v>37</v>
      </c>
      <c r="F58" s="2" t="s">
        <v>35</v>
      </c>
      <c r="G58" s="2" t="s">
        <v>37</v>
      </c>
      <c r="H58" s="2" t="s">
        <v>35</v>
      </c>
      <c r="I58" s="2" t="s">
        <v>37</v>
      </c>
      <c r="J58" s="2" t="s">
        <v>35</v>
      </c>
      <c r="K58" s="2" t="s">
        <v>37</v>
      </c>
      <c r="L58" s="2" t="s">
        <v>35</v>
      </c>
      <c r="M58" s="2" t="s">
        <v>37</v>
      </c>
    </row>
    <row r="59" spans="1:15" x14ac:dyDescent="0.3">
      <c r="A59" s="41" t="s">
        <v>42</v>
      </c>
      <c r="B59" s="42">
        <f t="shared" ref="B59:M59" si="9">AVERAGE(B44:B56)</f>
        <v>0.61538461538461542</v>
      </c>
      <c r="C59" s="42">
        <f t="shared" si="9"/>
        <v>0.30769230769230771</v>
      </c>
      <c r="D59" s="42">
        <f t="shared" si="9"/>
        <v>0.30769230769230771</v>
      </c>
      <c r="E59" s="42">
        <f t="shared" si="9"/>
        <v>0</v>
      </c>
      <c r="F59" s="42">
        <f t="shared" si="9"/>
        <v>7.6923076923076927E-2</v>
      </c>
      <c r="G59" s="42">
        <f t="shared" si="9"/>
        <v>0.38461538461538464</v>
      </c>
      <c r="H59" s="42">
        <f t="shared" si="9"/>
        <v>0</v>
      </c>
      <c r="I59" s="42">
        <f t="shared" si="9"/>
        <v>7.6923076923076927E-2</v>
      </c>
      <c r="J59" s="42">
        <f t="shared" si="9"/>
        <v>0</v>
      </c>
      <c r="K59" s="42">
        <f t="shared" si="9"/>
        <v>0.30769230769230771</v>
      </c>
      <c r="L59" s="42">
        <f t="shared" si="9"/>
        <v>0</v>
      </c>
      <c r="M59" s="42">
        <f t="shared" si="9"/>
        <v>0</v>
      </c>
    </row>
    <row r="60" spans="1:15" x14ac:dyDescent="0.3">
      <c r="A60" s="1" t="s">
        <v>44</v>
      </c>
      <c r="B60" s="121">
        <f>SUM(B59,C59)</f>
        <v>0.92307692307692313</v>
      </c>
      <c r="C60" s="122"/>
      <c r="D60" s="121">
        <f t="shared" ref="D60" si="10">SUM(D59,E59)</f>
        <v>0.30769230769230771</v>
      </c>
      <c r="E60" s="122"/>
      <c r="F60" s="121">
        <f t="shared" ref="F60" si="11">SUM(F59,G59)</f>
        <v>0.46153846153846156</v>
      </c>
      <c r="G60" s="122"/>
      <c r="H60" s="121">
        <f t="shared" ref="H60" si="12">SUM(H59,I59)</f>
        <v>7.6923076923076927E-2</v>
      </c>
      <c r="I60" s="122"/>
      <c r="J60" s="121">
        <f t="shared" ref="J60" si="13">SUM(J59,K59)</f>
        <v>0.30769230769230771</v>
      </c>
      <c r="K60" s="122"/>
      <c r="L60" s="121">
        <f t="shared" ref="L60" si="14">SUM(L59,M59)</f>
        <v>0</v>
      </c>
      <c r="M60" s="122"/>
    </row>
    <row r="61" spans="1:15" ht="21" thickBot="1" x14ac:dyDescent="0.35"/>
    <row r="62" spans="1:15" ht="22" thickTop="1" thickBot="1" x14ac:dyDescent="0.35">
      <c r="A62" s="54" t="s">
        <v>60</v>
      </c>
      <c r="B62" s="116" t="s">
        <v>12</v>
      </c>
      <c r="C62" s="117"/>
      <c r="D62" s="117"/>
      <c r="E62" s="117"/>
      <c r="F62" s="117"/>
      <c r="G62" s="117"/>
      <c r="H62" s="117"/>
      <c r="I62" s="117"/>
      <c r="J62" s="117"/>
      <c r="K62" s="117"/>
      <c r="L62" s="117"/>
      <c r="M62" s="118"/>
    </row>
    <row r="63" spans="1:15" ht="21" thickBot="1" x14ac:dyDescent="0.35">
      <c r="A63" s="56" t="s">
        <v>4</v>
      </c>
      <c r="B63" s="115" t="s">
        <v>6</v>
      </c>
      <c r="C63" s="114"/>
      <c r="D63" s="113" t="s">
        <v>8</v>
      </c>
      <c r="E63" s="114"/>
      <c r="F63" s="113" t="s">
        <v>10</v>
      </c>
      <c r="G63" s="114"/>
      <c r="H63" s="113" t="s">
        <v>14</v>
      </c>
      <c r="I63" s="114"/>
      <c r="J63" s="113" t="s">
        <v>16</v>
      </c>
      <c r="K63" s="114"/>
      <c r="L63" s="113" t="s">
        <v>18</v>
      </c>
      <c r="M63" s="114"/>
      <c r="N63" s="113" t="s">
        <v>108</v>
      </c>
      <c r="O63" s="114"/>
    </row>
    <row r="64" spans="1:15" ht="21" thickTop="1" x14ac:dyDescent="0.3">
      <c r="A64" s="58" t="s">
        <v>62</v>
      </c>
      <c r="B64" s="59">
        <v>1</v>
      </c>
      <c r="C64" s="59">
        <v>0</v>
      </c>
      <c r="D64" s="59">
        <v>0</v>
      </c>
      <c r="E64" s="59">
        <v>0</v>
      </c>
      <c r="F64" s="59">
        <v>0</v>
      </c>
      <c r="G64" s="59">
        <v>0</v>
      </c>
      <c r="H64" s="59">
        <v>0</v>
      </c>
      <c r="I64" s="59">
        <v>0</v>
      </c>
      <c r="J64" s="59">
        <v>0</v>
      </c>
      <c r="K64" s="59">
        <v>0</v>
      </c>
      <c r="L64" s="59">
        <v>0</v>
      </c>
      <c r="M64" s="59">
        <v>0</v>
      </c>
    </row>
    <row r="65" spans="1:15" x14ac:dyDescent="0.3">
      <c r="A65" s="58" t="s">
        <v>63</v>
      </c>
      <c r="B65" s="59">
        <v>1</v>
      </c>
      <c r="C65" s="60">
        <v>0</v>
      </c>
      <c r="D65" s="59">
        <v>0</v>
      </c>
      <c r="E65" s="60">
        <v>0</v>
      </c>
      <c r="F65" s="69">
        <v>0</v>
      </c>
      <c r="G65" s="69">
        <v>0</v>
      </c>
      <c r="H65" s="70">
        <v>0</v>
      </c>
      <c r="I65" s="71">
        <v>0</v>
      </c>
      <c r="J65" s="69">
        <v>0</v>
      </c>
      <c r="K65" s="69">
        <v>0</v>
      </c>
      <c r="L65" s="70">
        <v>0</v>
      </c>
      <c r="M65" s="72">
        <v>0</v>
      </c>
    </row>
    <row r="66" spans="1:15" x14ac:dyDescent="0.3">
      <c r="A66" s="58" t="s">
        <v>64</v>
      </c>
      <c r="B66" s="59">
        <v>1</v>
      </c>
      <c r="C66" s="60">
        <v>0</v>
      </c>
      <c r="D66" s="59">
        <v>0</v>
      </c>
      <c r="E66" s="60">
        <v>0</v>
      </c>
      <c r="F66" s="69">
        <v>0</v>
      </c>
      <c r="G66" s="69">
        <v>0</v>
      </c>
      <c r="H66" s="70">
        <v>0</v>
      </c>
      <c r="I66" s="71">
        <v>0</v>
      </c>
      <c r="J66" s="69">
        <v>0</v>
      </c>
      <c r="K66" s="69">
        <v>0</v>
      </c>
      <c r="L66" s="70">
        <v>0</v>
      </c>
      <c r="M66" s="72">
        <v>0</v>
      </c>
    </row>
    <row r="67" spans="1:15" x14ac:dyDescent="0.3">
      <c r="A67" s="58" t="s">
        <v>65</v>
      </c>
      <c r="B67" s="59">
        <v>0</v>
      </c>
      <c r="C67" s="60">
        <v>0</v>
      </c>
      <c r="D67" s="59">
        <v>1</v>
      </c>
      <c r="E67" s="60">
        <v>0</v>
      </c>
      <c r="F67" s="69">
        <v>0</v>
      </c>
      <c r="G67" s="69">
        <v>0</v>
      </c>
      <c r="H67" s="70">
        <v>0</v>
      </c>
      <c r="I67" s="71">
        <v>0</v>
      </c>
      <c r="J67" s="69">
        <v>0</v>
      </c>
      <c r="K67" s="69">
        <v>0</v>
      </c>
      <c r="L67" s="70">
        <v>0</v>
      </c>
      <c r="M67" s="72">
        <v>0</v>
      </c>
    </row>
    <row r="68" spans="1:15" x14ac:dyDescent="0.3">
      <c r="A68" s="58" t="s">
        <v>66</v>
      </c>
      <c r="B68" s="59">
        <v>1</v>
      </c>
      <c r="C68" s="60">
        <v>0</v>
      </c>
      <c r="D68" s="59">
        <v>0</v>
      </c>
      <c r="E68" s="60">
        <v>0</v>
      </c>
      <c r="F68" s="69">
        <v>0</v>
      </c>
      <c r="G68" s="69">
        <v>0</v>
      </c>
      <c r="H68" s="70">
        <v>0</v>
      </c>
      <c r="I68" s="71">
        <v>0</v>
      </c>
      <c r="J68" s="69">
        <v>0</v>
      </c>
      <c r="K68" s="69">
        <v>0</v>
      </c>
      <c r="L68" s="70">
        <v>0</v>
      </c>
      <c r="M68" s="72">
        <v>0</v>
      </c>
    </row>
    <row r="69" spans="1:15" x14ac:dyDescent="0.3">
      <c r="A69" s="58" t="s">
        <v>67</v>
      </c>
      <c r="B69" s="59">
        <v>0</v>
      </c>
      <c r="C69" s="60">
        <v>0</v>
      </c>
      <c r="D69" s="59">
        <v>0</v>
      </c>
      <c r="E69" s="60">
        <v>0</v>
      </c>
      <c r="F69" s="69">
        <v>0</v>
      </c>
      <c r="G69" s="69">
        <v>1</v>
      </c>
      <c r="H69" s="70">
        <v>1</v>
      </c>
      <c r="I69" s="71">
        <v>0</v>
      </c>
      <c r="J69" s="69">
        <v>0</v>
      </c>
      <c r="K69" s="69">
        <v>0</v>
      </c>
      <c r="L69" s="70">
        <v>0</v>
      </c>
      <c r="M69" s="72">
        <v>0</v>
      </c>
    </row>
    <row r="70" spans="1:15" x14ac:dyDescent="0.3">
      <c r="A70" s="58" t="s">
        <v>68</v>
      </c>
      <c r="B70" s="59">
        <v>0</v>
      </c>
      <c r="C70" s="60">
        <v>0</v>
      </c>
      <c r="D70" s="59">
        <v>1</v>
      </c>
      <c r="E70" s="60">
        <v>0</v>
      </c>
      <c r="F70" s="69">
        <v>0</v>
      </c>
      <c r="G70" s="69">
        <v>0</v>
      </c>
      <c r="H70" s="70">
        <v>0</v>
      </c>
      <c r="I70" s="71">
        <v>0</v>
      </c>
      <c r="J70" s="69">
        <v>0</v>
      </c>
      <c r="K70" s="69">
        <v>0</v>
      </c>
      <c r="L70" s="70">
        <v>0</v>
      </c>
      <c r="M70" s="72">
        <v>0</v>
      </c>
    </row>
    <row r="71" spans="1:15" x14ac:dyDescent="0.3">
      <c r="A71" s="58" t="s">
        <v>73</v>
      </c>
      <c r="B71" s="59">
        <v>0</v>
      </c>
      <c r="C71" s="60">
        <v>0</v>
      </c>
      <c r="D71" s="59">
        <v>0</v>
      </c>
      <c r="E71" s="60">
        <v>0</v>
      </c>
      <c r="F71" s="69">
        <v>1</v>
      </c>
      <c r="G71" s="69">
        <v>0</v>
      </c>
      <c r="H71" s="70">
        <v>0</v>
      </c>
      <c r="I71" s="71">
        <v>0</v>
      </c>
      <c r="J71" s="69">
        <v>0</v>
      </c>
      <c r="K71" s="69">
        <v>0</v>
      </c>
      <c r="L71" s="70">
        <v>0</v>
      </c>
      <c r="M71" s="72">
        <v>0</v>
      </c>
    </row>
    <row r="72" spans="1:15" x14ac:dyDescent="0.3">
      <c r="A72" s="58" t="s">
        <v>69</v>
      </c>
      <c r="B72" s="59">
        <v>1</v>
      </c>
      <c r="C72" s="60">
        <v>0</v>
      </c>
      <c r="D72" s="59">
        <v>0</v>
      </c>
      <c r="E72" s="60">
        <v>0</v>
      </c>
      <c r="F72" s="69">
        <v>0</v>
      </c>
      <c r="G72" s="69">
        <v>1</v>
      </c>
      <c r="H72" s="70">
        <v>0</v>
      </c>
      <c r="I72" s="71">
        <v>0</v>
      </c>
      <c r="J72" s="69">
        <v>0</v>
      </c>
      <c r="K72" s="69">
        <v>0</v>
      </c>
      <c r="L72" s="70">
        <v>0</v>
      </c>
      <c r="M72" s="72">
        <v>0</v>
      </c>
    </row>
    <row r="73" spans="1:15" x14ac:dyDescent="0.3">
      <c r="A73" s="58" t="s">
        <v>70</v>
      </c>
      <c r="B73" s="59">
        <v>1</v>
      </c>
      <c r="C73" s="60">
        <v>0</v>
      </c>
      <c r="D73" s="59">
        <v>0</v>
      </c>
      <c r="E73" s="60">
        <v>0</v>
      </c>
      <c r="F73" s="69">
        <v>0</v>
      </c>
      <c r="G73" s="69">
        <v>1</v>
      </c>
      <c r="H73" s="70">
        <v>0</v>
      </c>
      <c r="I73" s="71">
        <v>0</v>
      </c>
      <c r="J73" s="69">
        <v>0</v>
      </c>
      <c r="K73" s="69">
        <v>0</v>
      </c>
      <c r="L73" s="70">
        <v>0</v>
      </c>
      <c r="M73" s="72">
        <v>0</v>
      </c>
    </row>
    <row r="74" spans="1:15" x14ac:dyDescent="0.3">
      <c r="A74" s="58" t="s">
        <v>71</v>
      </c>
      <c r="B74" s="59">
        <v>1</v>
      </c>
      <c r="C74" s="60">
        <v>0</v>
      </c>
      <c r="D74" s="59">
        <v>0</v>
      </c>
      <c r="E74" s="60">
        <v>0</v>
      </c>
      <c r="F74" s="69">
        <v>0</v>
      </c>
      <c r="G74" s="69">
        <v>1</v>
      </c>
      <c r="H74" s="70">
        <v>0</v>
      </c>
      <c r="I74" s="71">
        <v>0</v>
      </c>
      <c r="J74" s="69">
        <v>0</v>
      </c>
      <c r="K74" s="69">
        <v>0</v>
      </c>
      <c r="L74" s="70">
        <v>0</v>
      </c>
      <c r="M74" s="72">
        <v>0</v>
      </c>
    </row>
    <row r="75" spans="1:15" x14ac:dyDescent="0.3">
      <c r="A75" s="58" t="s">
        <v>72</v>
      </c>
      <c r="B75" s="59">
        <v>1</v>
      </c>
      <c r="C75" s="60">
        <v>0</v>
      </c>
      <c r="D75" s="60">
        <v>0</v>
      </c>
      <c r="E75" s="60">
        <v>0</v>
      </c>
      <c r="F75" s="60">
        <v>0</v>
      </c>
      <c r="G75" s="60">
        <v>1</v>
      </c>
      <c r="H75" s="60">
        <v>0</v>
      </c>
      <c r="I75" s="60">
        <v>0</v>
      </c>
      <c r="J75" s="60">
        <v>0</v>
      </c>
      <c r="K75" s="60">
        <v>0</v>
      </c>
      <c r="L75" s="60">
        <v>0</v>
      </c>
      <c r="M75" s="72">
        <v>0</v>
      </c>
    </row>
    <row r="76" spans="1:15" x14ac:dyDescent="0.3">
      <c r="A76" s="61" t="s">
        <v>74</v>
      </c>
      <c r="B76" s="59">
        <v>1</v>
      </c>
      <c r="C76" s="59">
        <v>0</v>
      </c>
      <c r="D76" s="75">
        <v>0</v>
      </c>
      <c r="E76" s="76">
        <v>0</v>
      </c>
      <c r="F76" s="59">
        <v>0</v>
      </c>
      <c r="G76" s="59">
        <v>1</v>
      </c>
      <c r="H76" s="75">
        <v>0</v>
      </c>
      <c r="I76" s="76">
        <v>0</v>
      </c>
      <c r="J76" s="59">
        <v>0</v>
      </c>
      <c r="K76" s="59">
        <v>0</v>
      </c>
      <c r="L76" s="75">
        <v>0</v>
      </c>
      <c r="M76" s="84">
        <v>0</v>
      </c>
    </row>
    <row r="77" spans="1:15" x14ac:dyDescent="0.3">
      <c r="A77" s="61" t="s">
        <v>75</v>
      </c>
      <c r="B77" s="59">
        <v>1</v>
      </c>
      <c r="C77" s="59">
        <v>0</v>
      </c>
      <c r="D77" s="77">
        <v>0</v>
      </c>
      <c r="E77" s="60">
        <v>0</v>
      </c>
      <c r="F77" s="59">
        <v>0</v>
      </c>
      <c r="G77" s="59">
        <v>1</v>
      </c>
      <c r="H77" s="77">
        <v>0</v>
      </c>
      <c r="I77" s="60">
        <v>0</v>
      </c>
      <c r="J77" s="59">
        <v>0</v>
      </c>
      <c r="K77" s="59">
        <v>0</v>
      </c>
      <c r="L77" s="77">
        <v>0</v>
      </c>
      <c r="M77" s="85">
        <v>0</v>
      </c>
      <c r="O77" s="74">
        <v>1</v>
      </c>
    </row>
    <row r="78" spans="1:15" x14ac:dyDescent="0.3">
      <c r="A78" s="61" t="s">
        <v>76</v>
      </c>
      <c r="B78" s="59">
        <v>1</v>
      </c>
      <c r="C78" s="59">
        <v>0</v>
      </c>
      <c r="D78" s="77">
        <v>0</v>
      </c>
      <c r="E78" s="60">
        <v>0</v>
      </c>
      <c r="F78" s="59">
        <v>0</v>
      </c>
      <c r="G78" s="59">
        <v>1</v>
      </c>
      <c r="H78" s="77">
        <v>0</v>
      </c>
      <c r="I78" s="60">
        <v>0</v>
      </c>
      <c r="J78" s="59">
        <v>0</v>
      </c>
      <c r="K78" s="59">
        <v>0</v>
      </c>
      <c r="L78" s="77">
        <v>0</v>
      </c>
      <c r="M78" s="85">
        <v>0</v>
      </c>
    </row>
    <row r="79" spans="1:15" x14ac:dyDescent="0.3">
      <c r="A79" s="61" t="s">
        <v>77</v>
      </c>
      <c r="B79" s="59">
        <v>0</v>
      </c>
      <c r="C79" s="59">
        <v>0</v>
      </c>
      <c r="D79" s="77">
        <v>1</v>
      </c>
      <c r="E79" s="60">
        <v>0</v>
      </c>
      <c r="F79" s="59">
        <v>0</v>
      </c>
      <c r="G79" s="59">
        <v>1</v>
      </c>
      <c r="H79" s="77">
        <v>0</v>
      </c>
      <c r="I79" s="60">
        <v>0</v>
      </c>
      <c r="J79" s="59">
        <v>0</v>
      </c>
      <c r="K79" s="59">
        <v>0</v>
      </c>
      <c r="L79" s="77">
        <v>0</v>
      </c>
      <c r="M79" s="85">
        <v>0</v>
      </c>
    </row>
    <row r="80" spans="1:15" x14ac:dyDescent="0.3">
      <c r="A80" s="61" t="s">
        <v>78</v>
      </c>
      <c r="B80" s="59">
        <v>1</v>
      </c>
      <c r="C80" s="59">
        <v>0</v>
      </c>
      <c r="D80" s="77">
        <v>0</v>
      </c>
      <c r="E80" s="60">
        <v>0</v>
      </c>
      <c r="F80" s="59">
        <v>0</v>
      </c>
      <c r="G80" s="59">
        <v>1</v>
      </c>
      <c r="H80" s="77">
        <v>0</v>
      </c>
      <c r="I80" s="60">
        <v>0</v>
      </c>
      <c r="J80" s="59">
        <v>0</v>
      </c>
      <c r="K80" s="59">
        <v>0</v>
      </c>
      <c r="L80" s="77">
        <v>0</v>
      </c>
      <c r="M80" s="85">
        <v>0</v>
      </c>
    </row>
    <row r="81" spans="1:13" x14ac:dyDescent="0.3">
      <c r="A81" s="61" t="s">
        <v>79</v>
      </c>
      <c r="B81" s="59">
        <v>1</v>
      </c>
      <c r="C81" s="59">
        <v>0</v>
      </c>
      <c r="D81" s="77">
        <v>0</v>
      </c>
      <c r="E81" s="60">
        <v>0</v>
      </c>
      <c r="F81" s="59">
        <v>0</v>
      </c>
      <c r="G81" s="59">
        <v>0</v>
      </c>
      <c r="H81" s="77">
        <v>0</v>
      </c>
      <c r="I81" s="60">
        <v>0</v>
      </c>
      <c r="J81" s="59">
        <v>0</v>
      </c>
      <c r="K81" s="59">
        <v>0</v>
      </c>
      <c r="L81" s="77">
        <v>0</v>
      </c>
      <c r="M81" s="85">
        <v>0</v>
      </c>
    </row>
    <row r="82" spans="1:13" x14ac:dyDescent="0.3">
      <c r="A82" s="61" t="s">
        <v>80</v>
      </c>
      <c r="B82" s="59">
        <v>0</v>
      </c>
      <c r="C82" s="59">
        <v>1</v>
      </c>
      <c r="D82" s="77">
        <v>1</v>
      </c>
      <c r="E82" s="60">
        <v>0</v>
      </c>
      <c r="F82" s="59">
        <v>0</v>
      </c>
      <c r="G82" s="59">
        <v>1</v>
      </c>
      <c r="H82" s="77">
        <v>0</v>
      </c>
      <c r="I82" s="60">
        <v>1</v>
      </c>
      <c r="J82" s="59">
        <v>0</v>
      </c>
      <c r="K82" s="59">
        <v>0</v>
      </c>
      <c r="L82" s="77">
        <v>0</v>
      </c>
      <c r="M82" s="85">
        <v>0</v>
      </c>
    </row>
    <row r="83" spans="1:13" x14ac:dyDescent="0.3">
      <c r="A83" s="61" t="s">
        <v>81</v>
      </c>
      <c r="B83" s="59">
        <v>0</v>
      </c>
      <c r="C83" s="59">
        <v>1</v>
      </c>
      <c r="D83" s="77">
        <v>1</v>
      </c>
      <c r="E83" s="60">
        <v>0</v>
      </c>
      <c r="F83" s="59">
        <v>0</v>
      </c>
      <c r="G83" s="59">
        <v>1</v>
      </c>
      <c r="H83" s="77">
        <v>0</v>
      </c>
      <c r="I83" s="60">
        <v>1</v>
      </c>
      <c r="J83" s="59">
        <v>0</v>
      </c>
      <c r="K83" s="59">
        <v>0</v>
      </c>
      <c r="L83" s="77">
        <v>0</v>
      </c>
      <c r="M83" s="85">
        <v>0</v>
      </c>
    </row>
    <row r="84" spans="1:13" x14ac:dyDescent="0.3">
      <c r="A84" s="61" t="s">
        <v>82</v>
      </c>
      <c r="B84" s="59">
        <v>1</v>
      </c>
      <c r="C84" s="59">
        <v>0</v>
      </c>
      <c r="D84" s="77">
        <v>0</v>
      </c>
      <c r="E84" s="60">
        <v>0</v>
      </c>
      <c r="F84" s="59">
        <v>0</v>
      </c>
      <c r="G84" s="59">
        <v>1</v>
      </c>
      <c r="H84" s="77">
        <v>0</v>
      </c>
      <c r="I84" s="60">
        <v>0</v>
      </c>
      <c r="J84" s="59">
        <v>0</v>
      </c>
      <c r="K84" s="59">
        <v>0</v>
      </c>
      <c r="L84" s="77">
        <v>0</v>
      </c>
      <c r="M84" s="85">
        <v>0</v>
      </c>
    </row>
    <row r="85" spans="1:13" x14ac:dyDescent="0.3">
      <c r="A85" s="61" t="s">
        <v>83</v>
      </c>
      <c r="B85" s="59">
        <v>1</v>
      </c>
      <c r="C85" s="59">
        <v>0</v>
      </c>
      <c r="D85" s="77">
        <v>0</v>
      </c>
      <c r="E85" s="60">
        <v>0</v>
      </c>
      <c r="F85" s="59">
        <v>0</v>
      </c>
      <c r="G85" s="59">
        <v>1</v>
      </c>
      <c r="H85" s="77">
        <v>0</v>
      </c>
      <c r="I85" s="60">
        <v>0</v>
      </c>
      <c r="J85" s="59">
        <v>0</v>
      </c>
      <c r="K85" s="59">
        <v>0</v>
      </c>
      <c r="L85" s="77">
        <v>0</v>
      </c>
      <c r="M85" s="85">
        <v>0</v>
      </c>
    </row>
    <row r="86" spans="1:13" x14ac:dyDescent="0.3">
      <c r="A86" s="61" t="s">
        <v>84</v>
      </c>
      <c r="B86" s="59">
        <v>0</v>
      </c>
      <c r="C86" s="59">
        <v>1</v>
      </c>
      <c r="D86" s="77">
        <v>1</v>
      </c>
      <c r="E86" s="60">
        <v>0</v>
      </c>
      <c r="F86" s="59">
        <v>0</v>
      </c>
      <c r="G86" s="59">
        <v>0</v>
      </c>
      <c r="H86" s="77">
        <v>0</v>
      </c>
      <c r="I86" s="60">
        <v>0</v>
      </c>
      <c r="J86" s="59">
        <v>0</v>
      </c>
      <c r="K86" s="59">
        <v>0</v>
      </c>
      <c r="L86" s="77">
        <v>0</v>
      </c>
      <c r="M86" s="85">
        <v>0</v>
      </c>
    </row>
    <row r="87" spans="1:13" x14ac:dyDescent="0.3">
      <c r="A87" s="61" t="s">
        <v>85</v>
      </c>
      <c r="B87" s="59">
        <v>0</v>
      </c>
      <c r="C87" s="59">
        <v>1</v>
      </c>
      <c r="D87" s="77">
        <v>1</v>
      </c>
      <c r="E87" s="60">
        <v>0</v>
      </c>
      <c r="F87" s="59">
        <v>0</v>
      </c>
      <c r="G87" s="59">
        <v>0</v>
      </c>
      <c r="H87" s="77">
        <v>0</v>
      </c>
      <c r="I87" s="60">
        <v>0</v>
      </c>
      <c r="J87" s="59">
        <v>0</v>
      </c>
      <c r="K87" s="59">
        <v>0</v>
      </c>
      <c r="L87" s="77">
        <v>0</v>
      </c>
      <c r="M87" s="85">
        <v>0</v>
      </c>
    </row>
    <row r="88" spans="1:13" x14ac:dyDescent="0.3">
      <c r="A88" s="61" t="s">
        <v>86</v>
      </c>
      <c r="B88" s="59">
        <v>1</v>
      </c>
      <c r="C88" s="59">
        <v>0</v>
      </c>
      <c r="D88" s="77">
        <v>0</v>
      </c>
      <c r="E88" s="60">
        <v>1</v>
      </c>
      <c r="F88" s="59">
        <v>0</v>
      </c>
      <c r="G88" s="59">
        <v>1</v>
      </c>
      <c r="H88" s="77">
        <v>0</v>
      </c>
      <c r="I88" s="60">
        <v>0</v>
      </c>
      <c r="J88" s="59">
        <v>0</v>
      </c>
      <c r="K88" s="59">
        <v>0</v>
      </c>
      <c r="L88" s="77">
        <v>0</v>
      </c>
      <c r="M88" s="85">
        <v>0</v>
      </c>
    </row>
    <row r="89" spans="1:13" x14ac:dyDescent="0.3">
      <c r="A89" s="61" t="s">
        <v>87</v>
      </c>
      <c r="B89" s="59">
        <v>0</v>
      </c>
      <c r="C89" s="59">
        <v>0</v>
      </c>
      <c r="D89" s="77">
        <v>1</v>
      </c>
      <c r="E89" s="60">
        <v>0</v>
      </c>
      <c r="F89" s="59">
        <v>0</v>
      </c>
      <c r="G89" s="59">
        <v>1</v>
      </c>
      <c r="H89" s="77">
        <v>0</v>
      </c>
      <c r="I89" s="60">
        <v>0</v>
      </c>
      <c r="J89" s="59">
        <v>0</v>
      </c>
      <c r="K89" s="59">
        <v>0</v>
      </c>
      <c r="L89" s="77">
        <v>0</v>
      </c>
      <c r="M89" s="85">
        <v>0</v>
      </c>
    </row>
    <row r="90" spans="1:13" x14ac:dyDescent="0.3">
      <c r="A90" s="61" t="s">
        <v>89</v>
      </c>
      <c r="B90" s="59">
        <v>0</v>
      </c>
      <c r="C90" s="59">
        <v>0</v>
      </c>
      <c r="D90" s="77">
        <v>1</v>
      </c>
      <c r="E90" s="60">
        <v>0</v>
      </c>
      <c r="F90" s="59">
        <v>0</v>
      </c>
      <c r="G90" s="59">
        <v>0</v>
      </c>
      <c r="H90" s="77">
        <v>0</v>
      </c>
      <c r="I90" s="60">
        <v>0</v>
      </c>
      <c r="J90" s="59">
        <v>0</v>
      </c>
      <c r="K90" s="59">
        <v>0</v>
      </c>
      <c r="L90" s="77">
        <v>0</v>
      </c>
      <c r="M90" s="85">
        <v>0</v>
      </c>
    </row>
    <row r="91" spans="1:13" x14ac:dyDescent="0.3">
      <c r="A91" s="61" t="s">
        <v>88</v>
      </c>
      <c r="B91" s="59">
        <v>0</v>
      </c>
      <c r="C91" s="59">
        <v>1</v>
      </c>
      <c r="D91" s="77">
        <v>1</v>
      </c>
      <c r="E91" s="60">
        <v>0</v>
      </c>
      <c r="F91" s="59">
        <v>0</v>
      </c>
      <c r="G91" s="59">
        <v>1</v>
      </c>
      <c r="H91" s="77">
        <v>0</v>
      </c>
      <c r="I91" s="60">
        <v>0</v>
      </c>
      <c r="J91" s="59">
        <v>0</v>
      </c>
      <c r="K91" s="59">
        <v>0</v>
      </c>
      <c r="L91" s="77">
        <v>0</v>
      </c>
      <c r="M91" s="85">
        <v>0</v>
      </c>
    </row>
    <row r="92" spans="1:13" x14ac:dyDescent="0.3">
      <c r="A92" s="61" t="s">
        <v>90</v>
      </c>
      <c r="B92" s="59">
        <v>0</v>
      </c>
      <c r="C92" s="59">
        <v>0</v>
      </c>
      <c r="D92" s="77">
        <v>1</v>
      </c>
      <c r="E92" s="60">
        <v>0</v>
      </c>
      <c r="F92" s="59">
        <v>0</v>
      </c>
      <c r="G92" s="59">
        <v>1</v>
      </c>
      <c r="H92" s="77">
        <v>0</v>
      </c>
      <c r="I92" s="60">
        <v>0</v>
      </c>
      <c r="J92" s="59">
        <v>0</v>
      </c>
      <c r="K92" s="59">
        <v>0</v>
      </c>
      <c r="L92" s="77">
        <v>0</v>
      </c>
      <c r="M92" s="85">
        <v>0</v>
      </c>
    </row>
    <row r="93" spans="1:13" x14ac:dyDescent="0.3">
      <c r="A93" s="61" t="s">
        <v>91</v>
      </c>
      <c r="B93" s="59">
        <v>0</v>
      </c>
      <c r="C93" s="59">
        <v>1</v>
      </c>
      <c r="D93" s="77">
        <v>1</v>
      </c>
      <c r="E93" s="60">
        <v>0</v>
      </c>
      <c r="F93" s="59">
        <v>0</v>
      </c>
      <c r="G93" s="59">
        <v>0</v>
      </c>
      <c r="H93" s="77">
        <v>0</v>
      </c>
      <c r="I93" s="60">
        <v>0</v>
      </c>
      <c r="J93" s="59">
        <v>0</v>
      </c>
      <c r="K93" s="59">
        <v>0</v>
      </c>
      <c r="L93" s="77">
        <v>0</v>
      </c>
      <c r="M93" s="85">
        <v>0</v>
      </c>
    </row>
    <row r="94" spans="1:13" x14ac:dyDescent="0.3">
      <c r="A94" s="66" t="s">
        <v>92</v>
      </c>
      <c r="B94" s="59">
        <v>1</v>
      </c>
      <c r="C94" s="59">
        <v>0</v>
      </c>
      <c r="D94" s="77">
        <v>0</v>
      </c>
      <c r="E94" s="60">
        <v>0</v>
      </c>
      <c r="F94" s="59">
        <v>0</v>
      </c>
      <c r="G94" s="59">
        <v>1</v>
      </c>
      <c r="H94" s="77">
        <v>0</v>
      </c>
      <c r="I94" s="60">
        <v>0</v>
      </c>
      <c r="J94" s="59">
        <v>0</v>
      </c>
      <c r="K94" s="59">
        <v>0</v>
      </c>
      <c r="L94" s="77">
        <v>0</v>
      </c>
      <c r="M94" s="85">
        <v>0</v>
      </c>
    </row>
    <row r="95" spans="1:13" x14ac:dyDescent="0.3">
      <c r="A95" s="66" t="s">
        <v>93</v>
      </c>
      <c r="B95" s="59">
        <v>1</v>
      </c>
      <c r="C95" s="59">
        <v>0</v>
      </c>
      <c r="D95" s="77">
        <v>0</v>
      </c>
      <c r="E95" s="60">
        <v>1</v>
      </c>
      <c r="F95" s="59">
        <v>0</v>
      </c>
      <c r="G95" s="59">
        <v>1</v>
      </c>
      <c r="H95" s="77">
        <v>0</v>
      </c>
      <c r="I95" s="60">
        <v>0</v>
      </c>
      <c r="J95" s="59">
        <v>0</v>
      </c>
      <c r="K95" s="59">
        <v>0</v>
      </c>
      <c r="L95" s="77">
        <v>0</v>
      </c>
      <c r="M95" s="85">
        <v>0</v>
      </c>
    </row>
    <row r="96" spans="1:13" x14ac:dyDescent="0.3">
      <c r="A96" s="66" t="s">
        <v>94</v>
      </c>
      <c r="B96" s="59">
        <v>1</v>
      </c>
      <c r="C96" s="59">
        <v>0</v>
      </c>
      <c r="D96" s="77">
        <v>0</v>
      </c>
      <c r="E96" s="60">
        <v>1</v>
      </c>
      <c r="F96" s="59">
        <v>0</v>
      </c>
      <c r="G96" s="59">
        <v>0</v>
      </c>
      <c r="H96" s="77">
        <v>0</v>
      </c>
      <c r="I96" s="60">
        <v>0</v>
      </c>
      <c r="J96" s="59">
        <v>0</v>
      </c>
      <c r="K96" s="59">
        <v>0</v>
      </c>
      <c r="L96" s="77">
        <v>0</v>
      </c>
      <c r="M96" s="85">
        <v>0</v>
      </c>
    </row>
    <row r="97" spans="1:13" x14ac:dyDescent="0.3">
      <c r="A97" s="67" t="s">
        <v>95</v>
      </c>
      <c r="B97" s="59">
        <v>1</v>
      </c>
      <c r="C97" s="59">
        <v>0</v>
      </c>
      <c r="D97" s="77">
        <v>0</v>
      </c>
      <c r="E97" s="60">
        <v>0</v>
      </c>
      <c r="F97" s="59">
        <v>0</v>
      </c>
      <c r="G97" s="59">
        <v>1</v>
      </c>
      <c r="H97" s="77">
        <v>0</v>
      </c>
      <c r="I97" s="60">
        <v>0</v>
      </c>
      <c r="J97" s="59">
        <v>0</v>
      </c>
      <c r="K97" s="59">
        <v>0</v>
      </c>
      <c r="L97" s="77">
        <v>0</v>
      </c>
      <c r="M97" s="85">
        <v>0</v>
      </c>
    </row>
    <row r="98" spans="1:13" x14ac:dyDescent="0.3">
      <c r="A98" s="67" t="s">
        <v>96</v>
      </c>
      <c r="B98" s="59">
        <v>1</v>
      </c>
      <c r="C98" s="59">
        <v>0</v>
      </c>
      <c r="D98" s="77">
        <v>0</v>
      </c>
      <c r="E98" s="60">
        <v>0</v>
      </c>
      <c r="F98" s="59">
        <v>0</v>
      </c>
      <c r="G98" s="59">
        <v>1</v>
      </c>
      <c r="H98" s="77">
        <v>0</v>
      </c>
      <c r="I98" s="60">
        <v>0</v>
      </c>
      <c r="J98" s="59">
        <v>0</v>
      </c>
      <c r="K98" s="59">
        <v>0</v>
      </c>
      <c r="L98" s="77">
        <v>0</v>
      </c>
      <c r="M98" s="85">
        <v>0</v>
      </c>
    </row>
    <row r="99" spans="1:13" x14ac:dyDescent="0.3">
      <c r="A99" s="67" t="s">
        <v>97</v>
      </c>
      <c r="B99" s="59">
        <v>1</v>
      </c>
      <c r="C99" s="59">
        <v>0</v>
      </c>
      <c r="D99" s="77">
        <v>0</v>
      </c>
      <c r="E99" s="60">
        <v>0</v>
      </c>
      <c r="F99" s="59">
        <v>0</v>
      </c>
      <c r="G99" s="59">
        <v>1</v>
      </c>
      <c r="H99" s="77">
        <v>0</v>
      </c>
      <c r="I99" s="60">
        <v>0</v>
      </c>
      <c r="J99" s="59">
        <v>0</v>
      </c>
      <c r="K99" s="59">
        <v>0</v>
      </c>
      <c r="L99" s="77">
        <v>0</v>
      </c>
      <c r="M99" s="85">
        <v>0</v>
      </c>
    </row>
    <row r="100" spans="1:13" x14ac:dyDescent="0.3">
      <c r="A100" s="67" t="s">
        <v>98</v>
      </c>
      <c r="B100" s="59">
        <v>1</v>
      </c>
      <c r="C100" s="59">
        <v>0</v>
      </c>
      <c r="D100" s="77">
        <v>0</v>
      </c>
      <c r="E100" s="60">
        <v>0</v>
      </c>
      <c r="F100" s="59">
        <v>0</v>
      </c>
      <c r="G100" s="59">
        <v>1</v>
      </c>
      <c r="H100" s="77">
        <v>0</v>
      </c>
      <c r="I100" s="60">
        <v>0</v>
      </c>
      <c r="J100" s="59">
        <v>0</v>
      </c>
      <c r="K100" s="59">
        <v>0</v>
      </c>
      <c r="L100" s="77">
        <v>0</v>
      </c>
      <c r="M100" s="85">
        <v>0</v>
      </c>
    </row>
    <row r="101" spans="1:13" x14ac:dyDescent="0.3">
      <c r="A101" s="67" t="s">
        <v>99</v>
      </c>
      <c r="B101" s="59">
        <v>1</v>
      </c>
      <c r="C101" s="59">
        <v>0</v>
      </c>
      <c r="D101" s="77">
        <v>0</v>
      </c>
      <c r="E101" s="60">
        <v>0</v>
      </c>
      <c r="F101" s="59">
        <v>0</v>
      </c>
      <c r="G101" s="59">
        <v>0</v>
      </c>
      <c r="H101" s="77">
        <v>0</v>
      </c>
      <c r="I101" s="60">
        <v>0</v>
      </c>
      <c r="J101" s="59">
        <v>0</v>
      </c>
      <c r="K101" s="59">
        <v>0</v>
      </c>
      <c r="L101" s="77">
        <v>0</v>
      </c>
      <c r="M101" s="85">
        <v>0</v>
      </c>
    </row>
    <row r="102" spans="1:13" x14ac:dyDescent="0.3">
      <c r="A102" s="67" t="s">
        <v>100</v>
      </c>
      <c r="B102" s="59">
        <v>1</v>
      </c>
      <c r="C102" s="59">
        <v>0</v>
      </c>
      <c r="D102" s="77">
        <v>0</v>
      </c>
      <c r="E102" s="60">
        <v>0</v>
      </c>
      <c r="F102" s="59">
        <v>0</v>
      </c>
      <c r="G102" s="59">
        <v>0</v>
      </c>
      <c r="H102" s="77">
        <v>0</v>
      </c>
      <c r="I102" s="60">
        <v>0</v>
      </c>
      <c r="J102" s="59">
        <v>0</v>
      </c>
      <c r="K102" s="59">
        <v>0</v>
      </c>
      <c r="L102" s="77">
        <v>0</v>
      </c>
      <c r="M102" s="85">
        <v>0</v>
      </c>
    </row>
    <row r="103" spans="1:13" x14ac:dyDescent="0.3">
      <c r="A103" s="67" t="s">
        <v>101</v>
      </c>
      <c r="B103" s="59">
        <v>1</v>
      </c>
      <c r="C103" s="59">
        <v>0</v>
      </c>
      <c r="D103" s="77">
        <v>0</v>
      </c>
      <c r="E103" s="60">
        <v>0</v>
      </c>
      <c r="F103" s="59">
        <v>0</v>
      </c>
      <c r="G103" s="59">
        <v>0</v>
      </c>
      <c r="H103" s="77">
        <v>0</v>
      </c>
      <c r="I103" s="60">
        <v>0</v>
      </c>
      <c r="J103" s="59">
        <v>0</v>
      </c>
      <c r="K103" s="59">
        <v>0</v>
      </c>
      <c r="L103" s="77">
        <v>0</v>
      </c>
      <c r="M103" s="85">
        <v>0</v>
      </c>
    </row>
    <row r="104" spans="1:13" x14ac:dyDescent="0.3">
      <c r="A104" s="67" t="s">
        <v>102</v>
      </c>
      <c r="B104" s="59">
        <v>1</v>
      </c>
      <c r="C104" s="59">
        <v>0</v>
      </c>
      <c r="D104" s="77">
        <v>0</v>
      </c>
      <c r="E104" s="60">
        <v>0</v>
      </c>
      <c r="F104" s="59">
        <v>0</v>
      </c>
      <c r="G104" s="59">
        <v>0</v>
      </c>
      <c r="H104" s="77">
        <v>0</v>
      </c>
      <c r="I104" s="60">
        <v>0</v>
      </c>
      <c r="J104" s="59">
        <v>0</v>
      </c>
      <c r="K104" s="59">
        <v>0</v>
      </c>
      <c r="L104" s="77">
        <v>0</v>
      </c>
      <c r="M104" s="85">
        <v>0</v>
      </c>
    </row>
    <row r="105" spans="1:13" x14ac:dyDescent="0.3">
      <c r="A105" s="67" t="s">
        <v>103</v>
      </c>
      <c r="B105" s="59">
        <v>1</v>
      </c>
      <c r="C105" s="59">
        <v>0</v>
      </c>
      <c r="D105" s="77">
        <v>0</v>
      </c>
      <c r="E105" s="60">
        <v>0</v>
      </c>
      <c r="F105" s="59">
        <v>0</v>
      </c>
      <c r="G105" s="59">
        <v>0</v>
      </c>
      <c r="H105" s="77">
        <v>0</v>
      </c>
      <c r="I105" s="60">
        <v>0</v>
      </c>
      <c r="J105" s="59">
        <v>0</v>
      </c>
      <c r="K105" s="59">
        <v>0</v>
      </c>
      <c r="L105" s="77">
        <v>0</v>
      </c>
      <c r="M105" s="85">
        <v>0</v>
      </c>
    </row>
    <row r="106" spans="1:13" x14ac:dyDescent="0.3">
      <c r="A106" s="67" t="s">
        <v>104</v>
      </c>
      <c r="B106" s="59">
        <v>1</v>
      </c>
      <c r="C106" s="59">
        <v>0</v>
      </c>
      <c r="D106" s="77">
        <v>0</v>
      </c>
      <c r="E106" s="60">
        <v>0</v>
      </c>
      <c r="F106" s="59">
        <v>0</v>
      </c>
      <c r="G106" s="59">
        <v>0</v>
      </c>
      <c r="H106" s="77">
        <v>0</v>
      </c>
      <c r="I106" s="60">
        <v>0</v>
      </c>
      <c r="J106" s="59">
        <v>0</v>
      </c>
      <c r="K106" s="55">
        <v>0</v>
      </c>
      <c r="L106" s="77">
        <v>0</v>
      </c>
      <c r="M106" s="85">
        <v>0</v>
      </c>
    </row>
    <row r="107" spans="1:13" x14ac:dyDescent="0.3">
      <c r="A107" s="67" t="s">
        <v>105</v>
      </c>
      <c r="B107" s="59">
        <v>0</v>
      </c>
      <c r="C107" s="59">
        <v>0</v>
      </c>
      <c r="D107" s="77">
        <v>1</v>
      </c>
      <c r="E107" s="60">
        <v>0</v>
      </c>
      <c r="F107" s="59">
        <v>0</v>
      </c>
      <c r="G107" s="59">
        <v>0</v>
      </c>
      <c r="H107" s="80">
        <v>0</v>
      </c>
      <c r="I107" s="81">
        <v>0</v>
      </c>
      <c r="J107" s="73">
        <v>0</v>
      </c>
      <c r="K107" s="55">
        <v>0</v>
      </c>
      <c r="L107" s="77">
        <v>0</v>
      </c>
      <c r="M107" s="85">
        <v>0</v>
      </c>
    </row>
    <row r="108" spans="1:13" x14ac:dyDescent="0.3">
      <c r="A108" s="67" t="s">
        <v>106</v>
      </c>
      <c r="B108" s="59">
        <v>1</v>
      </c>
      <c r="C108" s="59">
        <v>0</v>
      </c>
      <c r="D108" s="77">
        <v>0</v>
      </c>
      <c r="E108" s="60">
        <v>0</v>
      </c>
      <c r="F108" s="59">
        <v>0</v>
      </c>
      <c r="G108" s="59">
        <v>0</v>
      </c>
      <c r="H108" s="80">
        <v>0</v>
      </c>
      <c r="I108" s="81">
        <v>0</v>
      </c>
      <c r="J108" s="73">
        <v>0</v>
      </c>
      <c r="K108" s="55">
        <v>0</v>
      </c>
      <c r="L108" s="80">
        <v>0</v>
      </c>
      <c r="M108" s="85">
        <v>0</v>
      </c>
    </row>
    <row r="109" spans="1:13" ht="21" thickBot="1" x14ac:dyDescent="0.35">
      <c r="A109" s="68" t="s">
        <v>107</v>
      </c>
      <c r="B109" s="59">
        <v>1</v>
      </c>
      <c r="C109" s="59">
        <v>0</v>
      </c>
      <c r="D109" s="78">
        <v>0</v>
      </c>
      <c r="E109" s="79">
        <v>0</v>
      </c>
      <c r="F109" s="59">
        <v>0</v>
      </c>
      <c r="G109" s="59">
        <v>0</v>
      </c>
      <c r="H109" s="82">
        <v>0</v>
      </c>
      <c r="I109" s="83">
        <v>0</v>
      </c>
      <c r="J109" s="73">
        <v>0</v>
      </c>
      <c r="K109" s="55">
        <v>0</v>
      </c>
      <c r="L109" s="82">
        <v>0</v>
      </c>
      <c r="M109" s="86">
        <v>0</v>
      </c>
    </row>
    <row r="110" spans="1:13" ht="22" thickTop="1" thickBot="1" x14ac:dyDescent="0.35">
      <c r="A110" s="62" t="s">
        <v>32</v>
      </c>
      <c r="B110" s="63">
        <f t="shared" ref="B110:M110" si="15">0+SUM(B64:B109)</f>
        <v>31</v>
      </c>
      <c r="C110" s="63">
        <f t="shared" si="15"/>
        <v>6</v>
      </c>
      <c r="D110" s="63">
        <f t="shared" si="15"/>
        <v>13</v>
      </c>
      <c r="E110" s="63">
        <f t="shared" si="15"/>
        <v>3</v>
      </c>
      <c r="F110" s="63">
        <f t="shared" si="15"/>
        <v>1</v>
      </c>
      <c r="G110" s="63">
        <f t="shared" si="15"/>
        <v>24</v>
      </c>
      <c r="H110" s="63">
        <f t="shared" si="15"/>
        <v>1</v>
      </c>
      <c r="I110" s="63">
        <f t="shared" si="15"/>
        <v>2</v>
      </c>
      <c r="J110" s="63">
        <f t="shared" si="15"/>
        <v>0</v>
      </c>
      <c r="K110" s="63">
        <f t="shared" si="15"/>
        <v>0</v>
      </c>
      <c r="L110" s="63">
        <f t="shared" si="15"/>
        <v>0</v>
      </c>
      <c r="M110" s="63">
        <f t="shared" si="15"/>
        <v>0</v>
      </c>
    </row>
    <row r="111" spans="1:13" ht="21" thickTop="1" x14ac:dyDescent="0.3">
      <c r="A111" s="57"/>
      <c r="B111" s="57" t="s">
        <v>34</v>
      </c>
      <c r="C111" s="57" t="s">
        <v>36</v>
      </c>
      <c r="D111" s="57" t="s">
        <v>34</v>
      </c>
      <c r="E111" s="57" t="s">
        <v>36</v>
      </c>
      <c r="F111" s="57" t="s">
        <v>34</v>
      </c>
      <c r="G111" s="57" t="s">
        <v>36</v>
      </c>
      <c r="H111" s="57" t="s">
        <v>34</v>
      </c>
      <c r="I111" s="57" t="s">
        <v>36</v>
      </c>
      <c r="J111" s="57" t="s">
        <v>34</v>
      </c>
      <c r="K111" s="57" t="s">
        <v>36</v>
      </c>
      <c r="L111" s="57" t="s">
        <v>34</v>
      </c>
      <c r="M111" s="57" t="s">
        <v>36</v>
      </c>
    </row>
    <row r="112" spans="1:13" x14ac:dyDescent="0.3">
      <c r="A112" s="64" t="s">
        <v>41</v>
      </c>
      <c r="B112" s="65">
        <f t="shared" ref="B112:M112" si="16">0%+AVERAGE(B64:B109)</f>
        <v>0.67391304347826086</v>
      </c>
      <c r="C112" s="65">
        <f t="shared" si="16"/>
        <v>0.13043478260869565</v>
      </c>
      <c r="D112" s="65">
        <f t="shared" si="16"/>
        <v>0.28260869565217389</v>
      </c>
      <c r="E112" s="65">
        <f t="shared" si="16"/>
        <v>6.5217391304347824E-2</v>
      </c>
      <c r="F112" s="65">
        <f t="shared" si="16"/>
        <v>2.1739130434782608E-2</v>
      </c>
      <c r="G112" s="65">
        <f t="shared" si="16"/>
        <v>0.52173913043478259</v>
      </c>
      <c r="H112" s="65">
        <f t="shared" si="16"/>
        <v>2.1739130434782608E-2</v>
      </c>
      <c r="I112" s="65">
        <f t="shared" si="16"/>
        <v>4.3478260869565216E-2</v>
      </c>
      <c r="J112" s="65">
        <f t="shared" si="16"/>
        <v>0</v>
      </c>
      <c r="K112" s="65">
        <f t="shared" si="16"/>
        <v>0</v>
      </c>
      <c r="L112" s="65">
        <f t="shared" si="16"/>
        <v>0</v>
      </c>
      <c r="M112" s="65">
        <f t="shared" si="16"/>
        <v>0</v>
      </c>
    </row>
    <row r="113" spans="1:13" x14ac:dyDescent="0.3">
      <c r="A113" s="55" t="s">
        <v>43</v>
      </c>
      <c r="B113" s="119">
        <f>0%+SUM(B112,C112)</f>
        <v>0.80434782608695654</v>
      </c>
      <c r="C113" s="120"/>
      <c r="D113" s="119">
        <f>0%+SUM(D112,E112)</f>
        <v>0.34782608695652173</v>
      </c>
      <c r="E113" s="120"/>
      <c r="F113" s="119">
        <f>0%+SUM(F112,G112)</f>
        <v>0.54347826086956519</v>
      </c>
      <c r="G113" s="120"/>
      <c r="H113" s="119">
        <f>0%+SUM(H112,I112)</f>
        <v>6.5217391304347824E-2</v>
      </c>
      <c r="I113" s="120"/>
      <c r="J113" s="119">
        <f>0%+SUM(J112,K112)</f>
        <v>0</v>
      </c>
      <c r="K113" s="120"/>
      <c r="L113" s="119">
        <f>0%+SUM(L112,M112)</f>
        <v>0</v>
      </c>
      <c r="M113" s="120"/>
    </row>
    <row r="115" spans="1:13" x14ac:dyDescent="0.3">
      <c r="A115" t="s">
        <v>109</v>
      </c>
      <c r="B115">
        <f t="shared" ref="B115:M115" si="17">SUM(B24:B36,B44:B56,B64:B109)</f>
        <v>48</v>
      </c>
      <c r="C115">
        <f t="shared" si="17"/>
        <v>14</v>
      </c>
      <c r="D115">
        <f t="shared" si="17"/>
        <v>21</v>
      </c>
      <c r="E115">
        <f t="shared" si="17"/>
        <v>7</v>
      </c>
      <c r="F115">
        <f t="shared" si="17"/>
        <v>2</v>
      </c>
      <c r="G115">
        <f t="shared" si="17"/>
        <v>36</v>
      </c>
      <c r="H115">
        <f t="shared" si="17"/>
        <v>1</v>
      </c>
      <c r="I115">
        <f t="shared" si="17"/>
        <v>3</v>
      </c>
      <c r="J115">
        <f t="shared" si="17"/>
        <v>0</v>
      </c>
      <c r="K115">
        <f t="shared" si="17"/>
        <v>8</v>
      </c>
      <c r="L115">
        <f t="shared" si="17"/>
        <v>0</v>
      </c>
      <c r="M115">
        <f t="shared" si="17"/>
        <v>0</v>
      </c>
    </row>
    <row r="116" spans="1:13" x14ac:dyDescent="0.3">
      <c r="A116" t="s">
        <v>110</v>
      </c>
      <c r="B116" s="42">
        <f t="shared" ref="B116:M116" si="18">AVERAGE(B24:B36,B44:B56,B64:B109)</f>
        <v>0.66666666666666663</v>
      </c>
      <c r="C116" s="42">
        <f t="shared" si="18"/>
        <v>0.19444444444444445</v>
      </c>
      <c r="D116" s="42">
        <f t="shared" si="18"/>
        <v>0.29166666666666669</v>
      </c>
      <c r="E116" s="42">
        <f t="shared" si="18"/>
        <v>9.7222222222222224E-2</v>
      </c>
      <c r="F116" s="42">
        <f t="shared" si="18"/>
        <v>2.7777777777777776E-2</v>
      </c>
      <c r="G116" s="42">
        <f t="shared" si="18"/>
        <v>0.5</v>
      </c>
      <c r="H116" s="42">
        <f t="shared" si="18"/>
        <v>1.3888888888888888E-2</v>
      </c>
      <c r="I116" s="42">
        <f t="shared" si="18"/>
        <v>4.1666666666666664E-2</v>
      </c>
      <c r="J116" s="42">
        <f t="shared" si="18"/>
        <v>0</v>
      </c>
      <c r="K116" s="42">
        <f t="shared" si="18"/>
        <v>0.1111111111111111</v>
      </c>
      <c r="L116" s="42">
        <f t="shared" si="18"/>
        <v>0</v>
      </c>
      <c r="M116" s="42">
        <f t="shared" si="18"/>
        <v>0</v>
      </c>
    </row>
    <row r="117" spans="1:13" x14ac:dyDescent="0.3">
      <c r="A117" t="s">
        <v>111</v>
      </c>
      <c r="B117" s="42">
        <f>SUM(B116:C116)</f>
        <v>0.86111111111111105</v>
      </c>
      <c r="D117" s="42">
        <f>SUM(D116:E116)</f>
        <v>0.3888888888888889</v>
      </c>
      <c r="F117" s="42">
        <f>SUM(F116:G116)</f>
        <v>0.52777777777777779</v>
      </c>
      <c r="H117" s="42">
        <f>SUM(H116:I116)</f>
        <v>5.5555555555555552E-2</v>
      </c>
      <c r="J117" s="42">
        <f>SUM(J116:K116)</f>
        <v>0.1111111111111111</v>
      </c>
    </row>
    <row r="118" spans="1:13" x14ac:dyDescent="0.3">
      <c r="C118" s="42"/>
    </row>
  </sheetData>
  <mergeCells count="48">
    <mergeCell ref="J5:K5"/>
    <mergeCell ref="L5:M5"/>
    <mergeCell ref="B2:D3"/>
    <mergeCell ref="B4:M4"/>
    <mergeCell ref="B22:M22"/>
    <mergeCell ref="B5:C5"/>
    <mergeCell ref="D5:E5"/>
    <mergeCell ref="F5:G5"/>
    <mergeCell ref="H5:I5"/>
    <mergeCell ref="L23:M23"/>
    <mergeCell ref="B40:C40"/>
    <mergeCell ref="D40:E40"/>
    <mergeCell ref="F40:G40"/>
    <mergeCell ref="H40:I40"/>
    <mergeCell ref="J40:K40"/>
    <mergeCell ref="L40:M40"/>
    <mergeCell ref="B23:C23"/>
    <mergeCell ref="D23:E23"/>
    <mergeCell ref="F23:G23"/>
    <mergeCell ref="H23:I23"/>
    <mergeCell ref="J23:K23"/>
    <mergeCell ref="B42:M42"/>
    <mergeCell ref="B43:C43"/>
    <mergeCell ref="D43:E43"/>
    <mergeCell ref="F43:G43"/>
    <mergeCell ref="H43:I43"/>
    <mergeCell ref="J43:K43"/>
    <mergeCell ref="L43:M43"/>
    <mergeCell ref="L60:M60"/>
    <mergeCell ref="L113:M113"/>
    <mergeCell ref="J113:K113"/>
    <mergeCell ref="H113:I113"/>
    <mergeCell ref="F113:G113"/>
    <mergeCell ref="F63:G63"/>
    <mergeCell ref="B60:C60"/>
    <mergeCell ref="D60:E60"/>
    <mergeCell ref="F60:G60"/>
    <mergeCell ref="H60:I60"/>
    <mergeCell ref="J60:K60"/>
    <mergeCell ref="D63:E63"/>
    <mergeCell ref="B63:C63"/>
    <mergeCell ref="N63:O63"/>
    <mergeCell ref="B62:M62"/>
    <mergeCell ref="B113:C113"/>
    <mergeCell ref="L63:M63"/>
    <mergeCell ref="J63:K63"/>
    <mergeCell ref="H63:I63"/>
    <mergeCell ref="D113:E113"/>
  </mergeCells>
  <phoneticPr fontId="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M19"/>
  <sheetViews>
    <sheetView workbookViewId="0">
      <selection activeCell="C18" sqref="C18"/>
    </sheetView>
  </sheetViews>
  <sheetFormatPr baseColWidth="12" defaultRowHeight="20" x14ac:dyDescent="0.3"/>
  <sheetData>
    <row r="1" spans="1:13" ht="22" thickTop="1" thickBot="1" x14ac:dyDescent="0.35">
      <c r="A1" s="6" t="s">
        <v>45</v>
      </c>
      <c r="B1" s="123" t="s">
        <v>13</v>
      </c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5"/>
    </row>
    <row r="2" spans="1:13" ht="21" thickBot="1" x14ac:dyDescent="0.35">
      <c r="A2" s="4" t="s">
        <v>5</v>
      </c>
      <c r="B2" s="126" t="s">
        <v>7</v>
      </c>
      <c r="C2" s="127"/>
      <c r="D2" s="126" t="s">
        <v>9</v>
      </c>
      <c r="E2" s="127"/>
      <c r="F2" s="126" t="s">
        <v>11</v>
      </c>
      <c r="G2" s="127"/>
      <c r="H2" s="126" t="s">
        <v>15</v>
      </c>
      <c r="I2" s="127"/>
      <c r="J2" s="126" t="s">
        <v>17</v>
      </c>
      <c r="K2" s="127"/>
      <c r="L2" s="126" t="s">
        <v>19</v>
      </c>
      <c r="M2" s="127"/>
    </row>
    <row r="3" spans="1:13" ht="21" thickTop="1" x14ac:dyDescent="0.3">
      <c r="A3" s="7"/>
      <c r="B3" s="8">
        <v>0</v>
      </c>
      <c r="C3" s="8">
        <v>0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</row>
    <row r="4" spans="1:13" x14ac:dyDescent="0.3">
      <c r="A4" s="33"/>
      <c r="B4" s="34">
        <v>0</v>
      </c>
      <c r="C4" s="35">
        <v>0</v>
      </c>
      <c r="D4" s="36">
        <v>0</v>
      </c>
      <c r="E4" s="35">
        <v>0</v>
      </c>
      <c r="F4" s="37">
        <v>0</v>
      </c>
      <c r="G4" s="37">
        <v>0</v>
      </c>
      <c r="H4" s="38">
        <v>0</v>
      </c>
      <c r="I4" s="39">
        <v>0</v>
      </c>
      <c r="J4" s="37">
        <v>0</v>
      </c>
      <c r="K4" s="37">
        <v>0</v>
      </c>
      <c r="L4" s="38">
        <v>0</v>
      </c>
      <c r="M4" s="40">
        <v>0</v>
      </c>
    </row>
    <row r="5" spans="1:13" x14ac:dyDescent="0.3">
      <c r="A5" s="33"/>
      <c r="B5" s="12">
        <v>0</v>
      </c>
      <c r="C5" s="16">
        <v>0</v>
      </c>
      <c r="D5" s="18">
        <v>0</v>
      </c>
      <c r="E5" s="16">
        <v>0</v>
      </c>
      <c r="F5" s="13">
        <v>0</v>
      </c>
      <c r="G5" s="13">
        <v>0</v>
      </c>
      <c r="H5" s="21">
        <v>0</v>
      </c>
      <c r="I5" s="22">
        <v>0</v>
      </c>
      <c r="J5" s="37">
        <v>0</v>
      </c>
      <c r="K5" s="13">
        <v>0</v>
      </c>
      <c r="L5" s="21">
        <v>0</v>
      </c>
      <c r="M5" s="14">
        <v>0</v>
      </c>
    </row>
    <row r="6" spans="1:13" x14ac:dyDescent="0.3">
      <c r="A6" s="33"/>
      <c r="B6" s="12">
        <v>0</v>
      </c>
      <c r="C6" s="16">
        <v>0</v>
      </c>
      <c r="D6" s="18">
        <v>0</v>
      </c>
      <c r="E6" s="16">
        <v>0</v>
      </c>
      <c r="F6" s="13">
        <v>0</v>
      </c>
      <c r="G6" s="13">
        <v>0</v>
      </c>
      <c r="H6" s="21">
        <v>0</v>
      </c>
      <c r="I6" s="22">
        <v>0</v>
      </c>
      <c r="J6" s="37">
        <v>0</v>
      </c>
      <c r="K6" s="13">
        <v>0</v>
      </c>
      <c r="L6" s="21">
        <v>0</v>
      </c>
      <c r="M6" s="14">
        <v>0</v>
      </c>
    </row>
    <row r="7" spans="1:13" x14ac:dyDescent="0.3">
      <c r="A7" s="33"/>
      <c r="B7" s="12">
        <v>0</v>
      </c>
      <c r="C7" s="16">
        <v>0</v>
      </c>
      <c r="D7" s="18">
        <v>0</v>
      </c>
      <c r="E7" s="16">
        <v>0</v>
      </c>
      <c r="F7" s="13">
        <v>0</v>
      </c>
      <c r="G7" s="13">
        <v>0</v>
      </c>
      <c r="H7" s="21">
        <v>0</v>
      </c>
      <c r="I7" s="22">
        <v>0</v>
      </c>
      <c r="J7" s="37">
        <v>0</v>
      </c>
      <c r="K7" s="13">
        <v>0</v>
      </c>
      <c r="L7" s="21">
        <v>0</v>
      </c>
      <c r="M7" s="14">
        <v>0</v>
      </c>
    </row>
    <row r="8" spans="1:13" x14ac:dyDescent="0.3">
      <c r="A8" s="33"/>
      <c r="B8" s="12">
        <v>0</v>
      </c>
      <c r="C8" s="16">
        <v>0</v>
      </c>
      <c r="D8" s="18">
        <v>0</v>
      </c>
      <c r="E8" s="16">
        <v>0</v>
      </c>
      <c r="F8" s="13">
        <v>0</v>
      </c>
      <c r="G8" s="13">
        <v>0</v>
      </c>
      <c r="H8" s="21">
        <v>0</v>
      </c>
      <c r="I8" s="22">
        <v>0</v>
      </c>
      <c r="J8" s="37">
        <v>0</v>
      </c>
      <c r="K8" s="13">
        <v>0</v>
      </c>
      <c r="L8" s="21">
        <v>0</v>
      </c>
      <c r="M8" s="14">
        <v>0</v>
      </c>
    </row>
    <row r="9" spans="1:13" x14ac:dyDescent="0.3">
      <c r="A9" s="33"/>
      <c r="B9" s="12">
        <v>0</v>
      </c>
      <c r="C9" s="16">
        <v>0</v>
      </c>
      <c r="D9" s="18">
        <v>0</v>
      </c>
      <c r="E9" s="16">
        <v>0</v>
      </c>
      <c r="F9" s="13">
        <v>0</v>
      </c>
      <c r="G9" s="13">
        <v>0</v>
      </c>
      <c r="H9" s="21">
        <v>0</v>
      </c>
      <c r="I9" s="22">
        <v>0</v>
      </c>
      <c r="J9" s="37">
        <v>0</v>
      </c>
      <c r="K9" s="13">
        <v>0</v>
      </c>
      <c r="L9" s="21">
        <v>0</v>
      </c>
      <c r="M9" s="14">
        <v>0</v>
      </c>
    </row>
    <row r="10" spans="1:13" x14ac:dyDescent="0.3">
      <c r="A10" s="33"/>
      <c r="B10" s="12">
        <v>0</v>
      </c>
      <c r="C10" s="16">
        <v>0</v>
      </c>
      <c r="D10" s="18">
        <v>0</v>
      </c>
      <c r="E10" s="16">
        <v>0</v>
      </c>
      <c r="F10" s="13">
        <v>0</v>
      </c>
      <c r="G10" s="13">
        <v>0</v>
      </c>
      <c r="H10" s="21">
        <v>0</v>
      </c>
      <c r="I10" s="22">
        <v>0</v>
      </c>
      <c r="J10" s="37">
        <v>0</v>
      </c>
      <c r="K10" s="13">
        <v>0</v>
      </c>
      <c r="L10" s="21">
        <v>0</v>
      </c>
      <c r="M10" s="14">
        <v>0</v>
      </c>
    </row>
    <row r="11" spans="1:13" x14ac:dyDescent="0.3">
      <c r="A11" s="33"/>
      <c r="B11" s="12">
        <v>0</v>
      </c>
      <c r="C11" s="16">
        <v>0</v>
      </c>
      <c r="D11" s="18">
        <v>0</v>
      </c>
      <c r="E11" s="16">
        <v>0</v>
      </c>
      <c r="F11" s="13">
        <v>0</v>
      </c>
      <c r="G11" s="13">
        <v>0</v>
      </c>
      <c r="H11" s="21">
        <v>0</v>
      </c>
      <c r="I11" s="22">
        <v>0</v>
      </c>
      <c r="J11" s="37">
        <v>0</v>
      </c>
      <c r="K11" s="13">
        <v>0</v>
      </c>
      <c r="L11" s="21">
        <v>0</v>
      </c>
      <c r="M11" s="14">
        <v>0</v>
      </c>
    </row>
    <row r="12" spans="1:13" x14ac:dyDescent="0.3">
      <c r="A12" s="33"/>
      <c r="B12" s="12">
        <v>0</v>
      </c>
      <c r="C12" s="16">
        <v>0</v>
      </c>
      <c r="D12" s="18">
        <v>0</v>
      </c>
      <c r="E12" s="16">
        <v>0</v>
      </c>
      <c r="F12" s="13">
        <v>0</v>
      </c>
      <c r="G12" s="13">
        <v>0</v>
      </c>
      <c r="H12" s="21">
        <v>0</v>
      </c>
      <c r="I12" s="22">
        <v>0</v>
      </c>
      <c r="J12" s="37">
        <v>0</v>
      </c>
      <c r="K12" s="13">
        <v>0</v>
      </c>
      <c r="L12" s="21">
        <v>0</v>
      </c>
      <c r="M12" s="14">
        <v>0</v>
      </c>
    </row>
    <row r="13" spans="1:13" x14ac:dyDescent="0.3">
      <c r="A13" s="33"/>
      <c r="B13" s="12">
        <v>0</v>
      </c>
      <c r="C13" s="16">
        <v>0</v>
      </c>
      <c r="D13" s="18">
        <v>0</v>
      </c>
      <c r="E13" s="16">
        <v>0</v>
      </c>
      <c r="F13" s="13">
        <v>0</v>
      </c>
      <c r="G13" s="13">
        <v>0</v>
      </c>
      <c r="H13" s="21">
        <v>0</v>
      </c>
      <c r="I13" s="22">
        <v>0</v>
      </c>
      <c r="J13" s="37">
        <v>0</v>
      </c>
      <c r="K13" s="13">
        <v>0</v>
      </c>
      <c r="L13" s="21">
        <v>0</v>
      </c>
      <c r="M13" s="14">
        <v>0</v>
      </c>
    </row>
    <row r="14" spans="1:13" x14ac:dyDescent="0.3">
      <c r="A14" s="33"/>
      <c r="B14" s="12">
        <v>0</v>
      </c>
      <c r="C14" s="16">
        <v>0</v>
      </c>
      <c r="D14" s="18">
        <v>0</v>
      </c>
      <c r="E14" s="16">
        <v>0</v>
      </c>
      <c r="F14" s="13">
        <v>0</v>
      </c>
      <c r="G14" s="13">
        <v>0</v>
      </c>
      <c r="H14" s="21">
        <v>0</v>
      </c>
      <c r="I14" s="22">
        <v>0</v>
      </c>
      <c r="J14" s="37">
        <v>0</v>
      </c>
      <c r="K14" s="13">
        <v>0</v>
      </c>
      <c r="L14" s="21">
        <v>0</v>
      </c>
      <c r="M14" s="14">
        <v>0</v>
      </c>
    </row>
    <row r="15" spans="1:13" ht="21" thickBot="1" x14ac:dyDescent="0.35">
      <c r="A15" s="23"/>
      <c r="B15" s="24">
        <v>0</v>
      </c>
      <c r="C15" s="25">
        <v>0</v>
      </c>
      <c r="D15" s="26">
        <v>0</v>
      </c>
      <c r="E15" s="25">
        <v>0</v>
      </c>
      <c r="F15" s="27">
        <v>0</v>
      </c>
      <c r="G15" s="27">
        <v>0</v>
      </c>
      <c r="H15" s="21">
        <v>0</v>
      </c>
      <c r="I15" s="22">
        <v>0</v>
      </c>
      <c r="J15" s="37">
        <v>0</v>
      </c>
      <c r="K15" s="27">
        <v>0</v>
      </c>
      <c r="L15" s="28">
        <v>0</v>
      </c>
      <c r="M15" s="30">
        <v>0</v>
      </c>
    </row>
    <row r="16" spans="1:13" ht="22" thickTop="1" thickBot="1" x14ac:dyDescent="0.35">
      <c r="A16" s="31" t="s">
        <v>33</v>
      </c>
      <c r="B16" s="32">
        <f t="shared" ref="B16:M16" si="0">SUM(B3:B15)</f>
        <v>0</v>
      </c>
      <c r="C16" s="32">
        <f t="shared" si="0"/>
        <v>0</v>
      </c>
      <c r="D16" s="32">
        <f t="shared" si="0"/>
        <v>0</v>
      </c>
      <c r="E16" s="32">
        <f t="shared" si="0"/>
        <v>0</v>
      </c>
      <c r="F16" s="32">
        <f t="shared" si="0"/>
        <v>0</v>
      </c>
      <c r="G16" s="32">
        <f t="shared" si="0"/>
        <v>0</v>
      </c>
      <c r="H16" s="32">
        <f t="shared" si="0"/>
        <v>0</v>
      </c>
      <c r="I16" s="32">
        <f t="shared" si="0"/>
        <v>0</v>
      </c>
      <c r="J16" s="32">
        <f t="shared" si="0"/>
        <v>0</v>
      </c>
      <c r="K16" s="32">
        <f t="shared" si="0"/>
        <v>0</v>
      </c>
      <c r="L16" s="32">
        <f t="shared" si="0"/>
        <v>0</v>
      </c>
      <c r="M16" s="32">
        <f t="shared" si="0"/>
        <v>0</v>
      </c>
    </row>
    <row r="17" spans="1:13" ht="21" thickTop="1" x14ac:dyDescent="0.3">
      <c r="A17" s="2"/>
      <c r="B17" s="2" t="s">
        <v>35</v>
      </c>
      <c r="C17" s="2" t="s">
        <v>37</v>
      </c>
      <c r="D17" s="2" t="s">
        <v>35</v>
      </c>
      <c r="E17" s="2" t="s">
        <v>37</v>
      </c>
      <c r="F17" s="2" t="s">
        <v>35</v>
      </c>
      <c r="G17" s="2" t="s">
        <v>37</v>
      </c>
      <c r="H17" s="2" t="s">
        <v>35</v>
      </c>
      <c r="I17" s="2" t="s">
        <v>37</v>
      </c>
      <c r="J17" s="2" t="s">
        <v>35</v>
      </c>
      <c r="K17" s="2" t="s">
        <v>37</v>
      </c>
      <c r="L17" s="2" t="s">
        <v>35</v>
      </c>
      <c r="M17" s="2" t="s">
        <v>37</v>
      </c>
    </row>
    <row r="18" spans="1:13" x14ac:dyDescent="0.3">
      <c r="A18" s="41" t="s">
        <v>42</v>
      </c>
      <c r="B18" s="42">
        <f t="shared" ref="B18:M18" si="1">AVERAGE(B3:B15)</f>
        <v>0</v>
      </c>
      <c r="C18" s="42">
        <f t="shared" si="1"/>
        <v>0</v>
      </c>
      <c r="D18" s="42">
        <f t="shared" si="1"/>
        <v>0</v>
      </c>
      <c r="E18" s="42">
        <f t="shared" si="1"/>
        <v>0</v>
      </c>
      <c r="F18" s="42">
        <f t="shared" si="1"/>
        <v>0</v>
      </c>
      <c r="G18" s="42">
        <f t="shared" si="1"/>
        <v>0</v>
      </c>
      <c r="H18" s="42">
        <f t="shared" si="1"/>
        <v>0</v>
      </c>
      <c r="I18" s="42">
        <f t="shared" si="1"/>
        <v>0</v>
      </c>
      <c r="J18" s="42">
        <f t="shared" si="1"/>
        <v>0</v>
      </c>
      <c r="K18" s="42">
        <f t="shared" si="1"/>
        <v>0</v>
      </c>
      <c r="L18" s="42">
        <f t="shared" si="1"/>
        <v>0</v>
      </c>
      <c r="M18" s="42">
        <f t="shared" si="1"/>
        <v>0</v>
      </c>
    </row>
    <row r="19" spans="1:13" x14ac:dyDescent="0.3">
      <c r="A19" s="1" t="s">
        <v>44</v>
      </c>
      <c r="B19" s="121">
        <f>SUM(B18,C18)</f>
        <v>0</v>
      </c>
      <c r="C19" s="122"/>
      <c r="D19" s="121">
        <f t="shared" ref="D19" si="2">SUM(D18,E18)</f>
        <v>0</v>
      </c>
      <c r="E19" s="122"/>
      <c r="F19" s="121">
        <f t="shared" ref="F19" si="3">SUM(F18,G18)</f>
        <v>0</v>
      </c>
      <c r="G19" s="122"/>
      <c r="H19" s="121">
        <f t="shared" ref="H19" si="4">SUM(H18,I18)</f>
        <v>0</v>
      </c>
      <c r="I19" s="122"/>
      <c r="J19" s="121">
        <f t="shared" ref="J19" si="5">SUM(J18,K18)</f>
        <v>0</v>
      </c>
      <c r="K19" s="122"/>
      <c r="L19" s="121">
        <f t="shared" ref="L19" si="6">SUM(L18,M18)</f>
        <v>0</v>
      </c>
      <c r="M19" s="122"/>
    </row>
  </sheetData>
  <mergeCells count="13">
    <mergeCell ref="L19:M19"/>
    <mergeCell ref="B1:M1"/>
    <mergeCell ref="B2:C2"/>
    <mergeCell ref="D2:E2"/>
    <mergeCell ref="F2:G2"/>
    <mergeCell ref="H2:I2"/>
    <mergeCell ref="J2:K2"/>
    <mergeCell ref="L2:M2"/>
    <mergeCell ref="B19:C19"/>
    <mergeCell ref="D19:E19"/>
    <mergeCell ref="F19:G19"/>
    <mergeCell ref="H19:I19"/>
    <mergeCell ref="J19:K19"/>
  </mergeCells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R114"/>
  <sheetViews>
    <sheetView zoomScale="82" workbookViewId="0">
      <selection activeCell="B8" sqref="B4:M8"/>
    </sheetView>
  </sheetViews>
  <sheetFormatPr baseColWidth="12" defaultRowHeight="20" x14ac:dyDescent="0.3"/>
  <cols>
    <col min="1" max="1" width="41.28515625" customWidth="1"/>
    <col min="16" max="16" width="20.7109375" customWidth="1"/>
  </cols>
  <sheetData>
    <row r="1" spans="1:18" ht="22" thickTop="1" thickBot="1" x14ac:dyDescent="0.35">
      <c r="A1" s="6" t="s">
        <v>3</v>
      </c>
      <c r="B1" s="123" t="s">
        <v>13</v>
      </c>
      <c r="C1" s="124"/>
      <c r="D1" s="124"/>
      <c r="E1" s="124"/>
      <c r="F1" s="124"/>
      <c r="G1" s="124"/>
      <c r="H1" s="130"/>
      <c r="I1" s="130"/>
      <c r="J1" s="130"/>
      <c r="K1" s="130"/>
      <c r="L1" s="130"/>
      <c r="M1" s="131"/>
      <c r="O1" s="1" t="s">
        <v>169</v>
      </c>
      <c r="P1" s="1" t="s">
        <v>168</v>
      </c>
      <c r="Q1" s="1" t="s">
        <v>170</v>
      </c>
      <c r="R1" s="1" t="s">
        <v>171</v>
      </c>
    </row>
    <row r="2" spans="1:18" ht="21" thickBot="1" x14ac:dyDescent="0.35">
      <c r="A2" s="5" t="s">
        <v>5</v>
      </c>
      <c r="B2" s="128"/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O2" s="1">
        <v>1</v>
      </c>
      <c r="P2" s="1" t="s">
        <v>172</v>
      </c>
      <c r="Q2" s="1">
        <v>30</v>
      </c>
      <c r="R2" s="1"/>
    </row>
    <row r="3" spans="1:18" ht="21" thickTop="1" x14ac:dyDescent="0.3">
      <c r="A3" s="33"/>
      <c r="B3" s="8">
        <v>0</v>
      </c>
      <c r="C3" s="15">
        <v>0</v>
      </c>
      <c r="D3" s="17">
        <v>0</v>
      </c>
      <c r="E3" s="15">
        <v>0</v>
      </c>
      <c r="F3" s="89">
        <v>0</v>
      </c>
      <c r="G3" s="90">
        <v>0</v>
      </c>
      <c r="H3" s="91">
        <v>0</v>
      </c>
      <c r="I3" s="91">
        <v>0</v>
      </c>
      <c r="J3" s="89">
        <v>0</v>
      </c>
      <c r="K3" s="89">
        <v>0</v>
      </c>
      <c r="L3" s="91">
        <v>0</v>
      </c>
      <c r="M3" s="92">
        <v>0</v>
      </c>
      <c r="O3" s="1">
        <v>2</v>
      </c>
      <c r="P3" s="1" t="s">
        <v>173</v>
      </c>
      <c r="Q3" s="1">
        <v>14</v>
      </c>
      <c r="R3" s="1"/>
    </row>
    <row r="4" spans="1:18" x14ac:dyDescent="0.3">
      <c r="A4" s="33"/>
      <c r="B4" s="34">
        <v>0</v>
      </c>
      <c r="C4" s="25">
        <v>0</v>
      </c>
      <c r="D4" s="36">
        <v>0</v>
      </c>
      <c r="E4" s="25">
        <v>0</v>
      </c>
      <c r="F4" s="43">
        <v>0</v>
      </c>
      <c r="G4" s="90">
        <v>0</v>
      </c>
      <c r="H4" s="44">
        <v>0</v>
      </c>
      <c r="I4" s="45">
        <v>0</v>
      </c>
      <c r="J4" s="43">
        <v>0</v>
      </c>
      <c r="K4" s="43">
        <v>0</v>
      </c>
      <c r="L4" s="93">
        <v>0</v>
      </c>
      <c r="M4" s="92">
        <v>0</v>
      </c>
      <c r="O4" s="1">
        <v>3</v>
      </c>
      <c r="P4" s="1" t="s">
        <v>174</v>
      </c>
      <c r="Q4" s="1">
        <v>12</v>
      </c>
      <c r="R4" s="1"/>
    </row>
    <row r="5" spans="1:18" x14ac:dyDescent="0.3">
      <c r="A5" s="33"/>
      <c r="B5" s="12">
        <v>0</v>
      </c>
      <c r="C5" s="25">
        <v>0</v>
      </c>
      <c r="D5" s="26">
        <v>0</v>
      </c>
      <c r="E5" s="25">
        <v>0</v>
      </c>
      <c r="F5" s="47">
        <v>0</v>
      </c>
      <c r="G5" s="90">
        <v>0</v>
      </c>
      <c r="H5" s="48">
        <v>0</v>
      </c>
      <c r="I5" s="49">
        <v>0</v>
      </c>
      <c r="J5" s="43">
        <v>0</v>
      </c>
      <c r="K5" s="90">
        <v>0</v>
      </c>
      <c r="L5" s="93">
        <v>0</v>
      </c>
      <c r="M5" s="92">
        <v>0</v>
      </c>
      <c r="O5" s="1">
        <v>4</v>
      </c>
      <c r="P5" s="1" t="s">
        <v>175</v>
      </c>
      <c r="Q5" s="1">
        <v>10</v>
      </c>
      <c r="R5" s="1"/>
    </row>
    <row r="6" spans="1:18" x14ac:dyDescent="0.3">
      <c r="A6" s="33"/>
      <c r="B6" s="12">
        <v>0</v>
      </c>
      <c r="C6" s="25">
        <v>0</v>
      </c>
      <c r="D6" s="26">
        <v>0</v>
      </c>
      <c r="E6" s="25">
        <v>0</v>
      </c>
      <c r="F6" s="47">
        <v>0</v>
      </c>
      <c r="G6" s="90">
        <v>0</v>
      </c>
      <c r="H6" s="48">
        <v>0</v>
      </c>
      <c r="I6" s="49">
        <v>0</v>
      </c>
      <c r="J6" s="43">
        <v>0</v>
      </c>
      <c r="K6" s="90">
        <v>0</v>
      </c>
      <c r="L6" s="93">
        <v>0</v>
      </c>
      <c r="M6" s="92">
        <v>0</v>
      </c>
      <c r="O6" s="1">
        <v>5</v>
      </c>
      <c r="P6" s="1" t="s">
        <v>176</v>
      </c>
      <c r="Q6" s="1">
        <v>9</v>
      </c>
      <c r="R6" s="1"/>
    </row>
    <row r="7" spans="1:18" x14ac:dyDescent="0.3">
      <c r="A7" s="33"/>
      <c r="B7" s="12">
        <v>0</v>
      </c>
      <c r="C7" s="25">
        <v>0</v>
      </c>
      <c r="D7" s="26">
        <v>0</v>
      </c>
      <c r="E7" s="25">
        <v>0</v>
      </c>
      <c r="F7" s="47">
        <v>0</v>
      </c>
      <c r="G7" s="90">
        <v>0</v>
      </c>
      <c r="H7" s="48">
        <v>0</v>
      </c>
      <c r="I7" s="49">
        <v>0</v>
      </c>
      <c r="J7" s="43">
        <v>0</v>
      </c>
      <c r="K7" s="90">
        <v>0</v>
      </c>
      <c r="L7" s="93">
        <v>0</v>
      </c>
      <c r="M7" s="92">
        <v>0</v>
      </c>
      <c r="O7" s="1">
        <v>6</v>
      </c>
      <c r="P7" s="1" t="s">
        <v>177</v>
      </c>
      <c r="Q7" s="1">
        <v>8</v>
      </c>
      <c r="R7" s="1"/>
    </row>
    <row r="8" spans="1:18" x14ac:dyDescent="0.3">
      <c r="A8" s="33"/>
      <c r="B8" s="12">
        <v>0</v>
      </c>
      <c r="C8" s="25">
        <v>0</v>
      </c>
      <c r="D8" s="26">
        <v>0</v>
      </c>
      <c r="E8" s="25">
        <v>0</v>
      </c>
      <c r="F8" s="47">
        <v>0</v>
      </c>
      <c r="G8" s="90">
        <v>0</v>
      </c>
      <c r="H8" s="48">
        <v>0</v>
      </c>
      <c r="I8" s="49">
        <v>0</v>
      </c>
      <c r="J8" s="43">
        <v>0</v>
      </c>
      <c r="K8" s="90">
        <v>0</v>
      </c>
      <c r="L8" s="93">
        <v>0</v>
      </c>
      <c r="M8" s="92">
        <v>0</v>
      </c>
      <c r="O8" s="1">
        <v>7</v>
      </c>
      <c r="P8" s="1" t="s">
        <v>178</v>
      </c>
      <c r="Q8" s="1">
        <v>6</v>
      </c>
      <c r="R8" s="1"/>
    </row>
    <row r="9" spans="1:18" x14ac:dyDescent="0.3">
      <c r="A9" s="33"/>
      <c r="B9" s="12"/>
      <c r="C9" s="25"/>
      <c r="D9" s="26"/>
      <c r="E9" s="25"/>
      <c r="F9" s="47"/>
      <c r="G9" s="90"/>
      <c r="H9" s="48"/>
      <c r="I9" s="49"/>
      <c r="J9" s="43"/>
      <c r="K9" s="90"/>
      <c r="L9" s="93"/>
      <c r="M9" s="92"/>
      <c r="O9" s="1">
        <v>8</v>
      </c>
      <c r="P9" s="1" t="s">
        <v>179</v>
      </c>
      <c r="Q9" s="1">
        <v>6</v>
      </c>
      <c r="R9" s="1"/>
    </row>
    <row r="10" spans="1:18" x14ac:dyDescent="0.3">
      <c r="A10" s="33"/>
      <c r="B10" s="12"/>
      <c r="C10" s="25"/>
      <c r="D10" s="26"/>
      <c r="E10" s="25"/>
      <c r="F10" s="47"/>
      <c r="G10" s="90"/>
      <c r="H10" s="48"/>
      <c r="I10" s="49"/>
      <c r="J10" s="43"/>
      <c r="K10" s="90"/>
      <c r="L10" s="93"/>
      <c r="M10" s="92"/>
      <c r="O10" s="1">
        <v>9</v>
      </c>
      <c r="P10" s="1" t="s">
        <v>180</v>
      </c>
      <c r="Q10" s="1">
        <v>6</v>
      </c>
      <c r="R10" s="1"/>
    </row>
    <row r="11" spans="1:18" x14ac:dyDescent="0.3">
      <c r="A11" s="33"/>
      <c r="B11" s="12">
        <v>0</v>
      </c>
      <c r="C11" s="25">
        <v>0</v>
      </c>
      <c r="D11" s="26">
        <v>0</v>
      </c>
      <c r="E11" s="25">
        <v>0</v>
      </c>
      <c r="F11" s="47">
        <v>0</v>
      </c>
      <c r="G11" s="90">
        <v>0</v>
      </c>
      <c r="H11" s="48">
        <v>0</v>
      </c>
      <c r="I11" s="49">
        <v>0</v>
      </c>
      <c r="J11" s="43">
        <v>0</v>
      </c>
      <c r="K11" s="90">
        <v>0</v>
      </c>
      <c r="L11" s="93">
        <v>0</v>
      </c>
      <c r="M11" s="92">
        <v>0</v>
      </c>
      <c r="O11" s="1">
        <v>10</v>
      </c>
      <c r="P11" s="1" t="s">
        <v>181</v>
      </c>
      <c r="Q11" s="1">
        <v>5</v>
      </c>
      <c r="R11" s="1"/>
    </row>
    <row r="12" spans="1:18" x14ac:dyDescent="0.3">
      <c r="A12" s="33"/>
      <c r="B12" s="12"/>
      <c r="C12" s="25"/>
      <c r="D12" s="26"/>
      <c r="E12" s="25"/>
      <c r="F12" s="47"/>
      <c r="G12" s="90"/>
      <c r="H12" s="48"/>
      <c r="I12" s="49"/>
      <c r="J12" s="43"/>
      <c r="K12" s="90"/>
      <c r="L12" s="93"/>
      <c r="M12" s="92"/>
    </row>
    <row r="13" spans="1:18" x14ac:dyDescent="0.3">
      <c r="A13" s="33"/>
      <c r="B13" s="12"/>
      <c r="C13" s="25"/>
      <c r="D13" s="26"/>
      <c r="E13" s="25"/>
      <c r="F13" s="47"/>
      <c r="G13" s="90"/>
      <c r="H13" s="48"/>
      <c r="I13" s="49"/>
      <c r="J13" s="43"/>
      <c r="K13" s="90"/>
      <c r="L13" s="93"/>
      <c r="M13" s="92"/>
    </row>
    <row r="14" spans="1:18" x14ac:dyDescent="0.3">
      <c r="A14" s="33"/>
      <c r="B14" s="12">
        <v>0</v>
      </c>
      <c r="C14" s="25">
        <v>0</v>
      </c>
      <c r="D14" s="26">
        <v>0</v>
      </c>
      <c r="E14" s="25">
        <v>0</v>
      </c>
      <c r="F14" s="47">
        <v>0</v>
      </c>
      <c r="G14" s="90">
        <v>0</v>
      </c>
      <c r="H14" s="48">
        <v>0</v>
      </c>
      <c r="I14" s="49">
        <v>0</v>
      </c>
      <c r="J14" s="43">
        <v>0</v>
      </c>
      <c r="K14" s="90">
        <v>0</v>
      </c>
      <c r="L14" s="93">
        <v>0</v>
      </c>
      <c r="M14" s="92">
        <v>0</v>
      </c>
    </row>
    <row r="15" spans="1:18" x14ac:dyDescent="0.3">
      <c r="A15" s="33"/>
      <c r="B15" s="12"/>
      <c r="C15" s="25"/>
      <c r="D15" s="26"/>
      <c r="E15" s="25"/>
      <c r="F15" s="47"/>
      <c r="G15" s="90"/>
      <c r="H15" s="48"/>
      <c r="I15" s="49"/>
      <c r="J15" s="43"/>
      <c r="K15" s="90"/>
      <c r="L15" s="93"/>
      <c r="M15" s="92"/>
    </row>
    <row r="16" spans="1:18" x14ac:dyDescent="0.3">
      <c r="A16" s="33"/>
      <c r="B16" s="12"/>
      <c r="C16" s="25"/>
      <c r="D16" s="26"/>
      <c r="E16" s="25"/>
      <c r="F16" s="47"/>
      <c r="G16" s="90"/>
      <c r="H16" s="48"/>
      <c r="I16" s="49"/>
      <c r="J16" s="43"/>
      <c r="K16" s="90"/>
      <c r="L16" s="93"/>
      <c r="M16" s="92"/>
    </row>
    <row r="17" spans="1:13" x14ac:dyDescent="0.3">
      <c r="A17" s="33"/>
      <c r="B17" s="12"/>
      <c r="C17" s="25"/>
      <c r="D17" s="26"/>
      <c r="E17" s="25"/>
      <c r="F17" s="47"/>
      <c r="G17" s="90"/>
      <c r="H17" s="48"/>
      <c r="I17" s="49"/>
      <c r="J17" s="43"/>
      <c r="K17" s="90"/>
      <c r="L17" s="93"/>
      <c r="M17" s="92"/>
    </row>
    <row r="18" spans="1:13" x14ac:dyDescent="0.3">
      <c r="A18" s="33"/>
      <c r="B18" s="12"/>
      <c r="C18" s="25"/>
      <c r="D18" s="26"/>
      <c r="E18" s="25"/>
      <c r="F18" s="47"/>
      <c r="G18" s="90"/>
      <c r="H18" s="48"/>
      <c r="I18" s="49"/>
      <c r="J18" s="43"/>
      <c r="K18" s="90"/>
      <c r="L18" s="93"/>
      <c r="M18" s="92"/>
    </row>
    <row r="19" spans="1:13" x14ac:dyDescent="0.3">
      <c r="A19" s="33"/>
      <c r="B19" s="12">
        <v>0</v>
      </c>
      <c r="C19" s="25">
        <v>0</v>
      </c>
      <c r="D19" s="26">
        <v>0</v>
      </c>
      <c r="E19" s="25">
        <v>0</v>
      </c>
      <c r="F19" s="47">
        <v>0</v>
      </c>
      <c r="G19" s="90">
        <v>0</v>
      </c>
      <c r="H19" s="48">
        <v>0</v>
      </c>
      <c r="I19" s="49">
        <v>0</v>
      </c>
      <c r="J19" s="43">
        <v>0</v>
      </c>
      <c r="K19" s="90">
        <v>0</v>
      </c>
      <c r="L19" s="93">
        <v>0</v>
      </c>
      <c r="M19" s="92">
        <v>0</v>
      </c>
    </row>
    <row r="20" spans="1:13" x14ac:dyDescent="0.3">
      <c r="A20" s="33"/>
      <c r="B20" s="12">
        <v>0</v>
      </c>
      <c r="C20" s="25">
        <v>0</v>
      </c>
      <c r="D20" s="26">
        <v>0</v>
      </c>
      <c r="E20" s="25">
        <v>0</v>
      </c>
      <c r="F20" s="47">
        <v>0</v>
      </c>
      <c r="G20" s="90">
        <v>0</v>
      </c>
      <c r="H20" s="48">
        <v>0</v>
      </c>
      <c r="I20" s="49">
        <v>0</v>
      </c>
      <c r="J20" s="43">
        <v>0</v>
      </c>
      <c r="K20" s="90">
        <v>0</v>
      </c>
      <c r="L20" s="93">
        <v>0</v>
      </c>
      <c r="M20" s="92">
        <v>0</v>
      </c>
    </row>
    <row r="21" spans="1:13" x14ac:dyDescent="0.3">
      <c r="A21" s="33"/>
      <c r="B21" s="92">
        <v>0</v>
      </c>
      <c r="C21" s="92">
        <v>0</v>
      </c>
      <c r="D21" s="92">
        <v>0</v>
      </c>
      <c r="E21" s="92">
        <v>0</v>
      </c>
      <c r="F21" s="92">
        <v>0</v>
      </c>
      <c r="G21" s="92">
        <v>0</v>
      </c>
      <c r="H21" s="92">
        <v>0</v>
      </c>
      <c r="I21" s="92">
        <v>0</v>
      </c>
      <c r="J21" s="92">
        <v>0</v>
      </c>
      <c r="K21" s="92">
        <v>0</v>
      </c>
      <c r="L21" s="92">
        <v>0</v>
      </c>
      <c r="M21" s="92">
        <v>0</v>
      </c>
    </row>
    <row r="22" spans="1:13" x14ac:dyDescent="0.3">
      <c r="A22" s="33"/>
      <c r="B22" s="12">
        <v>0</v>
      </c>
      <c r="C22" s="25">
        <v>0</v>
      </c>
      <c r="D22" s="26">
        <v>0</v>
      </c>
      <c r="E22" s="25">
        <v>0</v>
      </c>
      <c r="F22" s="47">
        <v>0</v>
      </c>
      <c r="G22" s="90">
        <v>0</v>
      </c>
      <c r="H22" s="48">
        <v>0</v>
      </c>
      <c r="I22" s="49">
        <v>0</v>
      </c>
      <c r="J22" s="43">
        <v>0</v>
      </c>
      <c r="K22" s="90">
        <v>0</v>
      </c>
      <c r="L22" s="93">
        <v>0</v>
      </c>
      <c r="M22" s="92">
        <v>0</v>
      </c>
    </row>
    <row r="23" spans="1:13" x14ac:dyDescent="0.3">
      <c r="A23" s="33"/>
      <c r="B23" s="92">
        <v>0</v>
      </c>
      <c r="C23" s="92">
        <v>0</v>
      </c>
      <c r="D23" s="92">
        <v>0</v>
      </c>
      <c r="E23" s="92">
        <v>0</v>
      </c>
      <c r="F23" s="92">
        <v>0</v>
      </c>
      <c r="G23" s="92">
        <v>0</v>
      </c>
      <c r="H23" s="92">
        <v>0</v>
      </c>
      <c r="I23" s="92">
        <v>0</v>
      </c>
      <c r="J23" s="92">
        <v>0</v>
      </c>
      <c r="K23" s="92">
        <v>0</v>
      </c>
      <c r="L23" s="92">
        <v>0</v>
      </c>
      <c r="M23" s="92">
        <v>0</v>
      </c>
    </row>
    <row r="24" spans="1:13" x14ac:dyDescent="0.3">
      <c r="A24" s="33"/>
      <c r="B24" s="12">
        <v>0</v>
      </c>
      <c r="C24" s="25">
        <v>0</v>
      </c>
      <c r="D24" s="26">
        <v>0</v>
      </c>
      <c r="E24" s="25">
        <v>0</v>
      </c>
      <c r="F24" s="47">
        <v>0</v>
      </c>
      <c r="G24" s="90">
        <v>0</v>
      </c>
      <c r="H24" s="48">
        <v>0</v>
      </c>
      <c r="I24" s="49">
        <v>0</v>
      </c>
      <c r="J24" s="43">
        <v>0</v>
      </c>
      <c r="K24" s="90">
        <v>0</v>
      </c>
      <c r="L24" s="93">
        <v>0</v>
      </c>
      <c r="M24" s="92">
        <v>0</v>
      </c>
    </row>
    <row r="25" spans="1:13" ht="21" thickBot="1" x14ac:dyDescent="0.35">
      <c r="A25" s="33"/>
      <c r="B25" s="24">
        <v>0</v>
      </c>
      <c r="C25" s="25">
        <v>0</v>
      </c>
      <c r="D25" s="26">
        <v>0</v>
      </c>
      <c r="E25" s="25">
        <v>0</v>
      </c>
      <c r="F25" s="90">
        <v>0</v>
      </c>
      <c r="G25" s="90">
        <v>0</v>
      </c>
      <c r="H25" s="48">
        <v>0</v>
      </c>
      <c r="I25" s="49">
        <v>0</v>
      </c>
      <c r="J25" s="43">
        <v>0</v>
      </c>
      <c r="K25" s="90">
        <v>0</v>
      </c>
      <c r="L25" s="93">
        <v>0</v>
      </c>
      <c r="M25" s="92">
        <v>0</v>
      </c>
    </row>
    <row r="26" spans="1:13" ht="22" thickTop="1" thickBot="1" x14ac:dyDescent="0.35">
      <c r="A26" s="31" t="s">
        <v>33</v>
      </c>
      <c r="B26" s="32">
        <f>SUM(B3:B25)</f>
        <v>0</v>
      </c>
      <c r="C26" s="32">
        <f t="shared" ref="C26:M26" si="0">SUM(C3:C25)</f>
        <v>0</v>
      </c>
      <c r="D26" s="32">
        <f t="shared" si="0"/>
        <v>0</v>
      </c>
      <c r="E26" s="32">
        <f t="shared" si="0"/>
        <v>0</v>
      </c>
      <c r="F26" s="32">
        <f t="shared" si="0"/>
        <v>0</v>
      </c>
      <c r="G26" s="32">
        <f t="shared" si="0"/>
        <v>0</v>
      </c>
      <c r="H26" s="32">
        <f t="shared" si="0"/>
        <v>0</v>
      </c>
      <c r="I26" s="32">
        <f t="shared" si="0"/>
        <v>0</v>
      </c>
      <c r="J26" s="32">
        <f t="shared" si="0"/>
        <v>0</v>
      </c>
      <c r="K26" s="32">
        <f t="shared" si="0"/>
        <v>0</v>
      </c>
      <c r="L26" s="32">
        <f t="shared" si="0"/>
        <v>0</v>
      </c>
      <c r="M26" s="32">
        <f t="shared" si="0"/>
        <v>0</v>
      </c>
    </row>
    <row r="27" spans="1:13" ht="21" thickTop="1" x14ac:dyDescent="0.3">
      <c r="A27" s="3"/>
      <c r="B27" s="3" t="s">
        <v>35</v>
      </c>
      <c r="C27" s="3" t="s">
        <v>37</v>
      </c>
      <c r="D27" s="3" t="s">
        <v>35</v>
      </c>
      <c r="E27" s="3" t="s">
        <v>37</v>
      </c>
      <c r="F27" s="3" t="s">
        <v>35</v>
      </c>
      <c r="G27" s="3" t="s">
        <v>37</v>
      </c>
      <c r="H27" s="3" t="s">
        <v>35</v>
      </c>
      <c r="I27" s="3" t="s">
        <v>37</v>
      </c>
      <c r="J27" s="3" t="s">
        <v>35</v>
      </c>
      <c r="K27" s="3" t="s">
        <v>37</v>
      </c>
      <c r="L27" s="3" t="s">
        <v>35</v>
      </c>
      <c r="M27" s="3" t="s">
        <v>37</v>
      </c>
    </row>
    <row r="28" spans="1:13" x14ac:dyDescent="0.3">
      <c r="A28" s="41" t="s">
        <v>42</v>
      </c>
      <c r="B28" s="42">
        <f>AVERAGE(B3:B25)</f>
        <v>0</v>
      </c>
      <c r="C28" s="42">
        <f t="shared" ref="C28:M28" si="1">AVERAGE(C3:C25)</f>
        <v>0</v>
      </c>
      <c r="D28" s="42">
        <f t="shared" si="1"/>
        <v>0</v>
      </c>
      <c r="E28" s="42">
        <f t="shared" si="1"/>
        <v>0</v>
      </c>
      <c r="F28" s="42">
        <f t="shared" si="1"/>
        <v>0</v>
      </c>
      <c r="G28" s="42">
        <f t="shared" si="1"/>
        <v>0</v>
      </c>
      <c r="H28" s="42">
        <f t="shared" si="1"/>
        <v>0</v>
      </c>
      <c r="I28" s="42">
        <f t="shared" si="1"/>
        <v>0</v>
      </c>
      <c r="J28" s="42">
        <f t="shared" si="1"/>
        <v>0</v>
      </c>
      <c r="K28" s="42">
        <f t="shared" si="1"/>
        <v>0</v>
      </c>
      <c r="L28" s="42">
        <f t="shared" si="1"/>
        <v>0</v>
      </c>
      <c r="M28" s="42">
        <f t="shared" si="1"/>
        <v>0</v>
      </c>
    </row>
    <row r="29" spans="1:13" x14ac:dyDescent="0.3">
      <c r="A29" s="1" t="s">
        <v>44</v>
      </c>
      <c r="B29" s="121">
        <f>SUM(B28,C28)</f>
        <v>0</v>
      </c>
      <c r="C29" s="122"/>
      <c r="D29" s="121">
        <f t="shared" ref="D29" si="2">SUM(D28,E28)</f>
        <v>0</v>
      </c>
      <c r="E29" s="122"/>
      <c r="F29" s="121">
        <f t="shared" ref="F29" si="3">SUM(F28,G28)</f>
        <v>0</v>
      </c>
      <c r="G29" s="122"/>
      <c r="H29" s="121">
        <f t="shared" ref="H29" si="4">SUM(H28,I28)</f>
        <v>0</v>
      </c>
      <c r="I29" s="122"/>
      <c r="J29" s="121">
        <f t="shared" ref="J29" si="5">SUM(J28,K28)</f>
        <v>0</v>
      </c>
      <c r="K29" s="122"/>
      <c r="L29" s="121">
        <f t="shared" ref="L29" si="6">SUM(L28,M28)</f>
        <v>0</v>
      </c>
      <c r="M29" s="122"/>
    </row>
    <row r="30" spans="1:13" ht="21" thickBot="1" x14ac:dyDescent="0.35"/>
    <row r="31" spans="1:13" ht="22" thickTop="1" thickBot="1" x14ac:dyDescent="0.35">
      <c r="A31" s="6" t="s">
        <v>61</v>
      </c>
      <c r="B31" s="123" t="s">
        <v>13</v>
      </c>
      <c r="C31" s="124"/>
      <c r="D31" s="124"/>
      <c r="E31" s="124"/>
      <c r="F31" s="124"/>
      <c r="G31" s="124"/>
      <c r="H31" s="124"/>
      <c r="I31" s="124"/>
      <c r="J31" s="124"/>
      <c r="K31" s="124"/>
      <c r="L31" s="124"/>
      <c r="M31" s="125"/>
    </row>
    <row r="32" spans="1:13" ht="21" thickBot="1" x14ac:dyDescent="0.35">
      <c r="A32" s="5" t="s">
        <v>5</v>
      </c>
      <c r="B32" s="126"/>
      <c r="C32" s="127"/>
      <c r="D32" s="126"/>
      <c r="E32" s="127"/>
      <c r="F32" s="126"/>
      <c r="G32" s="127"/>
      <c r="H32" s="126"/>
      <c r="I32" s="127"/>
      <c r="J32" s="126"/>
      <c r="K32" s="127"/>
      <c r="L32" s="126"/>
      <c r="M32" s="127"/>
    </row>
    <row r="33" spans="1:13" ht="21" thickTop="1" x14ac:dyDescent="0.3">
      <c r="A33" s="52"/>
      <c r="B33" s="8">
        <v>0</v>
      </c>
      <c r="C33" s="8">
        <v>0</v>
      </c>
      <c r="D33" s="18">
        <v>0</v>
      </c>
      <c r="E33" s="8">
        <v>0</v>
      </c>
      <c r="F33" s="1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</row>
    <row r="34" spans="1:13" x14ac:dyDescent="0.3">
      <c r="A34" s="52"/>
      <c r="B34" s="12">
        <v>0</v>
      </c>
      <c r="C34" s="35">
        <v>0</v>
      </c>
      <c r="D34" s="18">
        <v>0</v>
      </c>
      <c r="E34" s="35">
        <v>0</v>
      </c>
      <c r="F34" s="18">
        <v>0</v>
      </c>
      <c r="G34" s="18">
        <v>0</v>
      </c>
      <c r="H34" s="44">
        <v>0</v>
      </c>
      <c r="I34" s="45">
        <v>0</v>
      </c>
      <c r="J34" s="43">
        <v>0</v>
      </c>
      <c r="K34" s="43">
        <v>0</v>
      </c>
      <c r="L34" s="44">
        <v>0</v>
      </c>
      <c r="M34" s="46">
        <v>0</v>
      </c>
    </row>
    <row r="35" spans="1:13" x14ac:dyDescent="0.3">
      <c r="A35" s="52"/>
      <c r="B35" s="12">
        <v>0</v>
      </c>
      <c r="C35" s="16">
        <v>0</v>
      </c>
      <c r="D35" s="18">
        <v>0</v>
      </c>
      <c r="E35" s="16">
        <v>0</v>
      </c>
      <c r="F35" s="18">
        <v>0</v>
      </c>
      <c r="G35" s="18">
        <v>0</v>
      </c>
      <c r="H35" s="48">
        <v>0</v>
      </c>
      <c r="I35" s="18">
        <v>0</v>
      </c>
      <c r="J35" s="43">
        <v>0</v>
      </c>
      <c r="K35" s="18">
        <v>0</v>
      </c>
      <c r="L35" s="48">
        <v>0</v>
      </c>
      <c r="M35" s="50">
        <v>0</v>
      </c>
    </row>
    <row r="36" spans="1:13" x14ac:dyDescent="0.3">
      <c r="A36" s="52"/>
      <c r="B36" s="12"/>
      <c r="C36" s="16"/>
      <c r="D36" s="18"/>
      <c r="E36" s="16"/>
      <c r="F36" s="18"/>
      <c r="G36" s="18"/>
      <c r="H36" s="48"/>
      <c r="I36" s="18"/>
      <c r="J36" s="43"/>
      <c r="K36" s="18"/>
      <c r="L36" s="48"/>
      <c r="M36" s="50"/>
    </row>
    <row r="37" spans="1:13" x14ac:dyDescent="0.3">
      <c r="A37" s="52"/>
      <c r="B37" s="12">
        <v>0</v>
      </c>
      <c r="C37" s="16">
        <v>0</v>
      </c>
      <c r="D37" s="18">
        <v>0</v>
      </c>
      <c r="E37" s="16">
        <v>0</v>
      </c>
      <c r="F37" s="18">
        <v>0</v>
      </c>
      <c r="G37" s="18">
        <v>0</v>
      </c>
      <c r="H37" s="48">
        <v>0</v>
      </c>
      <c r="I37" s="18">
        <v>0</v>
      </c>
      <c r="J37" s="43">
        <v>0</v>
      </c>
      <c r="K37" s="18">
        <v>0</v>
      </c>
      <c r="L37" s="48">
        <v>0</v>
      </c>
      <c r="M37" s="50">
        <v>0</v>
      </c>
    </row>
    <row r="38" spans="1:13" x14ac:dyDescent="0.3">
      <c r="A38" s="52"/>
      <c r="B38" s="12"/>
      <c r="C38" s="16"/>
      <c r="D38" s="18"/>
      <c r="E38" s="16"/>
      <c r="F38" s="18"/>
      <c r="G38" s="18"/>
      <c r="H38" s="48"/>
      <c r="I38" s="18"/>
      <c r="J38" s="43"/>
      <c r="K38" s="18"/>
      <c r="L38" s="48"/>
      <c r="M38" s="50"/>
    </row>
    <row r="39" spans="1:13" x14ac:dyDescent="0.3">
      <c r="A39" s="52"/>
      <c r="B39" s="12">
        <v>0</v>
      </c>
      <c r="C39" s="16">
        <v>0</v>
      </c>
      <c r="D39" s="18">
        <v>0</v>
      </c>
      <c r="E39" s="16">
        <v>0</v>
      </c>
      <c r="F39" s="18">
        <v>0</v>
      </c>
      <c r="G39" s="18">
        <v>0</v>
      </c>
      <c r="H39" s="48">
        <v>0</v>
      </c>
      <c r="I39" s="18">
        <v>0</v>
      </c>
      <c r="J39" s="43">
        <v>0</v>
      </c>
      <c r="K39" s="18">
        <v>0</v>
      </c>
      <c r="L39" s="48">
        <v>0</v>
      </c>
      <c r="M39" s="50">
        <v>0</v>
      </c>
    </row>
    <row r="40" spans="1:13" x14ac:dyDescent="0.3">
      <c r="A40" s="52"/>
      <c r="B40" s="12"/>
      <c r="C40" s="16"/>
      <c r="D40" s="18"/>
      <c r="E40" s="16"/>
      <c r="F40" s="18"/>
      <c r="G40" s="18"/>
      <c r="H40" s="48"/>
      <c r="I40" s="18"/>
      <c r="J40" s="43"/>
      <c r="K40" s="18"/>
      <c r="L40" s="48"/>
      <c r="M40" s="50"/>
    </row>
    <row r="41" spans="1:13" x14ac:dyDescent="0.3">
      <c r="A41" s="52"/>
      <c r="B41" s="12"/>
      <c r="C41" s="16"/>
      <c r="D41" s="18"/>
      <c r="E41" s="16"/>
      <c r="F41" s="18"/>
      <c r="G41" s="18"/>
      <c r="H41" s="48"/>
      <c r="I41" s="18"/>
      <c r="J41" s="43"/>
      <c r="K41" s="18"/>
      <c r="L41" s="48"/>
      <c r="M41" s="50"/>
    </row>
    <row r="42" spans="1:13" x14ac:dyDescent="0.3">
      <c r="A42" s="52"/>
      <c r="B42" s="12"/>
      <c r="C42" s="16"/>
      <c r="D42" s="18"/>
      <c r="E42" s="16"/>
      <c r="F42" s="18"/>
      <c r="G42" s="18"/>
      <c r="H42" s="48"/>
      <c r="I42" s="18"/>
      <c r="J42" s="43"/>
      <c r="K42" s="18"/>
      <c r="L42" s="48"/>
      <c r="M42" s="50"/>
    </row>
    <row r="43" spans="1:13" x14ac:dyDescent="0.3">
      <c r="A43" s="52"/>
      <c r="B43" s="12"/>
      <c r="C43" s="16"/>
      <c r="D43" s="18"/>
      <c r="E43" s="16"/>
      <c r="F43" s="18"/>
      <c r="G43" s="18"/>
      <c r="H43" s="48"/>
      <c r="I43" s="18"/>
      <c r="J43" s="43"/>
      <c r="K43" s="18"/>
      <c r="L43" s="48"/>
      <c r="M43" s="50"/>
    </row>
    <row r="44" spans="1:13" x14ac:dyDescent="0.3">
      <c r="A44" s="52"/>
      <c r="B44" s="12"/>
      <c r="C44" s="16"/>
      <c r="D44" s="18"/>
      <c r="E44" s="16"/>
      <c r="F44" s="18"/>
      <c r="G44" s="18"/>
      <c r="H44" s="48"/>
      <c r="I44" s="18"/>
      <c r="J44" s="43"/>
      <c r="K44" s="18"/>
      <c r="L44" s="48"/>
      <c r="M44" s="50"/>
    </row>
    <row r="45" spans="1:13" x14ac:dyDescent="0.3">
      <c r="A45" s="52"/>
      <c r="B45" s="12"/>
      <c r="C45" s="16"/>
      <c r="D45" s="18"/>
      <c r="E45" s="16"/>
      <c r="F45" s="18"/>
      <c r="G45" s="18"/>
      <c r="H45" s="48"/>
      <c r="I45" s="18"/>
      <c r="J45" s="43"/>
      <c r="K45" s="18"/>
      <c r="L45" s="48"/>
      <c r="M45" s="50"/>
    </row>
    <row r="46" spans="1:13" x14ac:dyDescent="0.3">
      <c r="A46" s="52"/>
      <c r="B46" s="12">
        <v>0</v>
      </c>
      <c r="C46" s="16">
        <v>0</v>
      </c>
      <c r="D46" s="18">
        <v>0</v>
      </c>
      <c r="E46" s="16">
        <v>0</v>
      </c>
      <c r="F46" s="18">
        <v>0</v>
      </c>
      <c r="G46" s="18">
        <v>0</v>
      </c>
      <c r="H46" s="48">
        <v>0</v>
      </c>
      <c r="I46" s="18">
        <v>0</v>
      </c>
      <c r="J46" s="43">
        <v>0</v>
      </c>
      <c r="K46" s="18">
        <v>0</v>
      </c>
      <c r="L46" s="48">
        <v>0</v>
      </c>
      <c r="M46" s="50">
        <v>0</v>
      </c>
    </row>
    <row r="47" spans="1:13" x14ac:dyDescent="0.3">
      <c r="A47" s="52"/>
      <c r="B47" s="12">
        <v>0</v>
      </c>
      <c r="C47" s="16">
        <v>0</v>
      </c>
      <c r="D47" s="18">
        <v>0</v>
      </c>
      <c r="E47" s="16">
        <v>0</v>
      </c>
      <c r="F47" s="18">
        <v>0</v>
      </c>
      <c r="G47" s="18">
        <v>0</v>
      </c>
      <c r="H47" s="48">
        <v>0</v>
      </c>
      <c r="I47" s="18">
        <v>0</v>
      </c>
      <c r="J47" s="43">
        <v>0</v>
      </c>
      <c r="K47" s="18">
        <v>0</v>
      </c>
      <c r="L47" s="48">
        <v>0</v>
      </c>
      <c r="M47" s="50">
        <v>0</v>
      </c>
    </row>
    <row r="48" spans="1:13" x14ac:dyDescent="0.3">
      <c r="A48" s="52"/>
      <c r="B48" s="12">
        <v>0</v>
      </c>
      <c r="C48" s="16">
        <v>0</v>
      </c>
      <c r="D48" s="18">
        <v>0</v>
      </c>
      <c r="E48" s="16">
        <v>0</v>
      </c>
      <c r="F48" s="18">
        <v>0</v>
      </c>
      <c r="G48" s="18">
        <v>0</v>
      </c>
      <c r="H48" s="48">
        <v>0</v>
      </c>
      <c r="I48" s="18">
        <v>0</v>
      </c>
      <c r="J48" s="43">
        <v>0</v>
      </c>
      <c r="K48" s="18">
        <v>0</v>
      </c>
      <c r="L48" s="48">
        <v>0</v>
      </c>
      <c r="M48" s="50">
        <v>0</v>
      </c>
    </row>
    <row r="49" spans="1:13" x14ac:dyDescent="0.3">
      <c r="A49" s="52"/>
      <c r="B49" s="12">
        <v>0</v>
      </c>
      <c r="C49" s="16">
        <v>0</v>
      </c>
      <c r="D49" s="18">
        <v>0</v>
      </c>
      <c r="E49" s="16">
        <v>0</v>
      </c>
      <c r="F49" s="18">
        <v>0</v>
      </c>
      <c r="G49" s="18">
        <v>0</v>
      </c>
      <c r="H49" s="48">
        <v>0</v>
      </c>
      <c r="I49" s="18">
        <v>0</v>
      </c>
      <c r="J49" s="43">
        <v>0</v>
      </c>
      <c r="K49" s="18">
        <v>0</v>
      </c>
      <c r="L49" s="48">
        <v>0</v>
      </c>
      <c r="M49" s="50">
        <v>0</v>
      </c>
    </row>
    <row r="50" spans="1:13" x14ac:dyDescent="0.3">
      <c r="A50" s="52"/>
      <c r="B50" s="12">
        <v>0</v>
      </c>
      <c r="C50" s="16">
        <v>0</v>
      </c>
      <c r="D50" s="18">
        <v>0</v>
      </c>
      <c r="E50" s="16">
        <v>0</v>
      </c>
      <c r="F50" s="18">
        <v>0</v>
      </c>
      <c r="G50" s="18">
        <v>0</v>
      </c>
      <c r="H50" s="48">
        <v>0</v>
      </c>
      <c r="I50" s="18">
        <v>0</v>
      </c>
      <c r="J50" s="43">
        <v>0</v>
      </c>
      <c r="K50" s="18">
        <v>0</v>
      </c>
      <c r="L50" s="48">
        <v>0</v>
      </c>
      <c r="M50" s="50">
        <v>0</v>
      </c>
    </row>
    <row r="51" spans="1:13" x14ac:dyDescent="0.3">
      <c r="A51" s="52"/>
      <c r="B51" s="12">
        <v>0</v>
      </c>
      <c r="C51" s="16">
        <v>0</v>
      </c>
      <c r="D51" s="18">
        <v>0</v>
      </c>
      <c r="E51" s="16">
        <v>0</v>
      </c>
      <c r="F51" s="18">
        <v>0</v>
      </c>
      <c r="G51" s="18">
        <v>0</v>
      </c>
      <c r="H51" s="48">
        <v>0</v>
      </c>
      <c r="I51" s="18">
        <v>0</v>
      </c>
      <c r="J51" s="43">
        <v>0</v>
      </c>
      <c r="K51" s="18">
        <v>0</v>
      </c>
      <c r="L51" s="48">
        <v>0</v>
      </c>
      <c r="M51" s="50">
        <v>0</v>
      </c>
    </row>
    <row r="52" spans="1:13" x14ac:dyDescent="0.3">
      <c r="A52" s="52"/>
      <c r="B52" s="12">
        <v>0</v>
      </c>
      <c r="C52" s="16">
        <v>0</v>
      </c>
      <c r="D52" s="18">
        <v>0</v>
      </c>
      <c r="E52" s="16">
        <v>0</v>
      </c>
      <c r="F52" s="18">
        <v>0</v>
      </c>
      <c r="G52" s="18">
        <v>0</v>
      </c>
      <c r="H52" s="48">
        <v>0</v>
      </c>
      <c r="I52" s="18">
        <v>0</v>
      </c>
      <c r="J52" s="43">
        <v>0</v>
      </c>
      <c r="K52" s="18">
        <v>0</v>
      </c>
      <c r="L52" s="48">
        <v>0</v>
      </c>
      <c r="M52" s="50">
        <v>0</v>
      </c>
    </row>
    <row r="53" spans="1:13" ht="21" thickBot="1" x14ac:dyDescent="0.35">
      <c r="A53" s="52"/>
      <c r="B53" s="12">
        <v>0</v>
      </c>
      <c r="C53" s="16">
        <v>0</v>
      </c>
      <c r="D53" s="18">
        <v>0</v>
      </c>
      <c r="E53" s="18">
        <v>0</v>
      </c>
      <c r="F53" s="18">
        <v>0</v>
      </c>
      <c r="G53" s="18">
        <v>0</v>
      </c>
      <c r="H53" s="18">
        <v>0</v>
      </c>
      <c r="I53" s="18">
        <v>0</v>
      </c>
      <c r="J53" s="18">
        <v>0</v>
      </c>
      <c r="K53" s="18">
        <v>0</v>
      </c>
      <c r="L53" s="18">
        <v>0</v>
      </c>
      <c r="M53" s="50">
        <v>0</v>
      </c>
    </row>
    <row r="54" spans="1:13" ht="22" thickTop="1" thickBot="1" x14ac:dyDescent="0.35">
      <c r="A54" s="31" t="s">
        <v>33</v>
      </c>
      <c r="B54" s="32">
        <f t="shared" ref="B54:M54" si="7">SUM(B33:B53)</f>
        <v>0</v>
      </c>
      <c r="C54" s="32">
        <f t="shared" si="7"/>
        <v>0</v>
      </c>
      <c r="D54" s="32">
        <f t="shared" si="7"/>
        <v>0</v>
      </c>
      <c r="E54" s="32">
        <f t="shared" si="7"/>
        <v>0</v>
      </c>
      <c r="F54" s="32">
        <f t="shared" si="7"/>
        <v>0</v>
      </c>
      <c r="G54" s="32">
        <f t="shared" si="7"/>
        <v>0</v>
      </c>
      <c r="H54" s="32">
        <f t="shared" si="7"/>
        <v>0</v>
      </c>
      <c r="I54" s="32">
        <f t="shared" si="7"/>
        <v>0</v>
      </c>
      <c r="J54" s="32">
        <f t="shared" si="7"/>
        <v>0</v>
      </c>
      <c r="K54" s="32">
        <f t="shared" si="7"/>
        <v>0</v>
      </c>
      <c r="L54" s="32">
        <f t="shared" si="7"/>
        <v>0</v>
      </c>
      <c r="M54" s="32">
        <f t="shared" si="7"/>
        <v>0</v>
      </c>
    </row>
    <row r="55" spans="1:13" ht="21" thickTop="1" x14ac:dyDescent="0.3">
      <c r="A55" s="3"/>
      <c r="B55" s="3" t="s">
        <v>35</v>
      </c>
      <c r="C55" s="3" t="s">
        <v>37</v>
      </c>
      <c r="D55" s="3" t="s">
        <v>35</v>
      </c>
      <c r="E55" s="3" t="s">
        <v>37</v>
      </c>
      <c r="F55" s="3" t="s">
        <v>35</v>
      </c>
      <c r="G55" s="3" t="s">
        <v>37</v>
      </c>
      <c r="H55" s="3" t="s">
        <v>35</v>
      </c>
      <c r="I55" s="3" t="s">
        <v>37</v>
      </c>
      <c r="J55" s="3" t="s">
        <v>35</v>
      </c>
      <c r="K55" s="3" t="s">
        <v>37</v>
      </c>
      <c r="L55" s="3" t="s">
        <v>35</v>
      </c>
      <c r="M55" s="3" t="s">
        <v>37</v>
      </c>
    </row>
    <row r="56" spans="1:13" x14ac:dyDescent="0.3">
      <c r="A56" s="41" t="s">
        <v>42</v>
      </c>
      <c r="B56" s="42">
        <f t="shared" ref="B56:M56" si="8">AVERAGE(B33:B53)</f>
        <v>0</v>
      </c>
      <c r="C56" s="42">
        <f t="shared" si="8"/>
        <v>0</v>
      </c>
      <c r="D56" s="42">
        <f t="shared" si="8"/>
        <v>0</v>
      </c>
      <c r="E56" s="42">
        <f t="shared" si="8"/>
        <v>0</v>
      </c>
      <c r="F56" s="42">
        <f t="shared" si="8"/>
        <v>0</v>
      </c>
      <c r="G56" s="42">
        <f t="shared" si="8"/>
        <v>0</v>
      </c>
      <c r="H56" s="42">
        <f t="shared" si="8"/>
        <v>0</v>
      </c>
      <c r="I56" s="42">
        <f t="shared" si="8"/>
        <v>0</v>
      </c>
      <c r="J56" s="42">
        <f t="shared" si="8"/>
        <v>0</v>
      </c>
      <c r="K56" s="42">
        <f t="shared" si="8"/>
        <v>0</v>
      </c>
      <c r="L56" s="42">
        <f t="shared" si="8"/>
        <v>0</v>
      </c>
      <c r="M56" s="42">
        <f t="shared" si="8"/>
        <v>0</v>
      </c>
    </row>
    <row r="57" spans="1:13" x14ac:dyDescent="0.3">
      <c r="A57" s="1" t="s">
        <v>44</v>
      </c>
      <c r="B57" s="121">
        <f>SUM(B56,C56)</f>
        <v>0</v>
      </c>
      <c r="C57" s="122"/>
      <c r="D57" s="121">
        <f t="shared" ref="D57" si="9">SUM(D56,E56)</f>
        <v>0</v>
      </c>
      <c r="E57" s="122"/>
      <c r="F57" s="121">
        <f t="shared" ref="F57" si="10">SUM(F56,G56)</f>
        <v>0</v>
      </c>
      <c r="G57" s="122"/>
      <c r="H57" s="121">
        <f t="shared" ref="H57" si="11">SUM(H56,I56)</f>
        <v>0</v>
      </c>
      <c r="I57" s="122"/>
      <c r="J57" s="121">
        <f t="shared" ref="J57" si="12">SUM(J56,K56)</f>
        <v>0</v>
      </c>
      <c r="K57" s="122"/>
      <c r="L57" s="121">
        <f t="shared" ref="L57" si="13">SUM(L56,M56)</f>
        <v>0</v>
      </c>
      <c r="M57" s="122"/>
    </row>
    <row r="58" spans="1:13" ht="21" thickBot="1" x14ac:dyDescent="0.35"/>
    <row r="59" spans="1:13" ht="22" thickTop="1" thickBot="1" x14ac:dyDescent="0.35">
      <c r="A59" s="54" t="s">
        <v>60</v>
      </c>
      <c r="B59" s="116" t="s">
        <v>12</v>
      </c>
      <c r="C59" s="117"/>
      <c r="D59" s="117"/>
      <c r="E59" s="117"/>
      <c r="F59" s="117"/>
      <c r="G59" s="117"/>
      <c r="H59" s="117"/>
      <c r="I59" s="117"/>
      <c r="J59" s="117"/>
      <c r="K59" s="117"/>
      <c r="L59" s="117"/>
      <c r="M59" s="118"/>
    </row>
    <row r="60" spans="1:13" ht="21" thickBot="1" x14ac:dyDescent="0.35">
      <c r="A60" s="56" t="s">
        <v>4</v>
      </c>
      <c r="B60" s="115"/>
      <c r="C60" s="114"/>
      <c r="D60" s="115"/>
      <c r="E60" s="114"/>
      <c r="F60" s="115"/>
      <c r="G60" s="114"/>
      <c r="H60" s="115"/>
      <c r="I60" s="114"/>
      <c r="J60" s="115"/>
      <c r="K60" s="114"/>
      <c r="L60" s="115"/>
      <c r="M60" s="114"/>
    </row>
    <row r="61" spans="1:13" ht="21" thickTop="1" x14ac:dyDescent="0.3">
      <c r="A61" s="58"/>
      <c r="B61" s="59">
        <v>0</v>
      </c>
      <c r="C61" s="59">
        <v>0</v>
      </c>
      <c r="D61" s="59">
        <v>0</v>
      </c>
      <c r="E61" s="59">
        <v>0</v>
      </c>
      <c r="F61" s="59">
        <v>0</v>
      </c>
      <c r="G61" s="59">
        <v>0</v>
      </c>
      <c r="H61" s="59">
        <v>0</v>
      </c>
      <c r="I61" s="59">
        <v>0</v>
      </c>
      <c r="J61" s="59">
        <v>0</v>
      </c>
      <c r="K61" s="59">
        <v>0</v>
      </c>
      <c r="L61" s="59">
        <v>0</v>
      </c>
      <c r="M61" s="59">
        <v>0</v>
      </c>
    </row>
    <row r="62" spans="1:13" x14ac:dyDescent="0.3">
      <c r="A62" s="58"/>
      <c r="B62" s="59">
        <v>0</v>
      </c>
      <c r="C62" s="60">
        <v>0</v>
      </c>
      <c r="D62" s="59">
        <v>0</v>
      </c>
      <c r="E62" s="60">
        <v>0</v>
      </c>
      <c r="F62" s="69">
        <v>0</v>
      </c>
      <c r="G62" s="69">
        <v>0</v>
      </c>
      <c r="H62" s="70">
        <v>0</v>
      </c>
      <c r="I62" s="71">
        <v>0</v>
      </c>
      <c r="J62" s="69">
        <v>0</v>
      </c>
      <c r="K62" s="69">
        <v>0</v>
      </c>
      <c r="L62" s="70">
        <v>0</v>
      </c>
      <c r="M62" s="72">
        <v>0</v>
      </c>
    </row>
    <row r="63" spans="1:13" x14ac:dyDescent="0.3">
      <c r="A63" s="58"/>
      <c r="B63" s="59">
        <v>0</v>
      </c>
      <c r="C63" s="60">
        <v>0</v>
      </c>
      <c r="D63" s="59">
        <v>0</v>
      </c>
      <c r="E63" s="60">
        <v>0</v>
      </c>
      <c r="F63" s="69">
        <v>0</v>
      </c>
      <c r="G63" s="69">
        <v>0</v>
      </c>
      <c r="H63" s="70">
        <v>0</v>
      </c>
      <c r="I63" s="71">
        <v>0</v>
      </c>
      <c r="J63" s="69">
        <v>0</v>
      </c>
      <c r="K63" s="69">
        <v>0</v>
      </c>
      <c r="L63" s="70">
        <v>0</v>
      </c>
      <c r="M63" s="72">
        <v>0</v>
      </c>
    </row>
    <row r="64" spans="1:13" x14ac:dyDescent="0.3">
      <c r="A64" s="58"/>
      <c r="B64" s="59">
        <v>0</v>
      </c>
      <c r="C64" s="60">
        <v>0</v>
      </c>
      <c r="D64" s="59">
        <v>0</v>
      </c>
      <c r="E64" s="60">
        <v>0</v>
      </c>
      <c r="F64" s="69">
        <v>0</v>
      </c>
      <c r="G64" s="69">
        <v>0</v>
      </c>
      <c r="H64" s="70">
        <v>0</v>
      </c>
      <c r="I64" s="71">
        <v>0</v>
      </c>
      <c r="J64" s="69">
        <v>0</v>
      </c>
      <c r="K64" s="69">
        <v>0</v>
      </c>
      <c r="L64" s="70">
        <v>0</v>
      </c>
      <c r="M64" s="72">
        <v>0</v>
      </c>
    </row>
    <row r="65" spans="1:13" x14ac:dyDescent="0.3">
      <c r="A65" s="58"/>
      <c r="B65" s="59">
        <v>0</v>
      </c>
      <c r="C65" s="60">
        <v>0</v>
      </c>
      <c r="D65" s="59">
        <v>0</v>
      </c>
      <c r="E65" s="60">
        <v>0</v>
      </c>
      <c r="F65" s="69">
        <v>0</v>
      </c>
      <c r="G65" s="69">
        <v>0</v>
      </c>
      <c r="H65" s="70">
        <v>0</v>
      </c>
      <c r="I65" s="71">
        <v>0</v>
      </c>
      <c r="J65" s="69">
        <v>0</v>
      </c>
      <c r="K65" s="69">
        <v>0</v>
      </c>
      <c r="L65" s="70">
        <v>0</v>
      </c>
      <c r="M65" s="72">
        <v>0</v>
      </c>
    </row>
    <row r="66" spans="1:13" x14ac:dyDescent="0.3">
      <c r="A66" s="58"/>
      <c r="B66" s="59">
        <v>0</v>
      </c>
      <c r="C66" s="60">
        <v>0</v>
      </c>
      <c r="D66" s="59">
        <v>0</v>
      </c>
      <c r="E66" s="60">
        <v>0</v>
      </c>
      <c r="F66" s="69">
        <v>0</v>
      </c>
      <c r="G66" s="69">
        <v>0</v>
      </c>
      <c r="H66" s="70">
        <v>0</v>
      </c>
      <c r="I66" s="71">
        <v>0</v>
      </c>
      <c r="J66" s="69">
        <v>0</v>
      </c>
      <c r="K66" s="69">
        <v>0</v>
      </c>
      <c r="L66" s="70">
        <v>0</v>
      </c>
      <c r="M66" s="72">
        <v>0</v>
      </c>
    </row>
    <row r="67" spans="1:13" x14ac:dyDescent="0.3">
      <c r="A67" s="58"/>
      <c r="B67" s="59">
        <v>0</v>
      </c>
      <c r="C67" s="60">
        <v>0</v>
      </c>
      <c r="D67" s="59">
        <v>0</v>
      </c>
      <c r="E67" s="60">
        <v>0</v>
      </c>
      <c r="F67" s="69">
        <v>0</v>
      </c>
      <c r="G67" s="69">
        <v>0</v>
      </c>
      <c r="H67" s="70">
        <v>0</v>
      </c>
      <c r="I67" s="71">
        <v>0</v>
      </c>
      <c r="J67" s="69">
        <v>0</v>
      </c>
      <c r="K67" s="69">
        <v>0</v>
      </c>
      <c r="L67" s="70">
        <v>0</v>
      </c>
      <c r="M67" s="72">
        <v>0</v>
      </c>
    </row>
    <row r="68" spans="1:13" x14ac:dyDescent="0.3">
      <c r="A68" s="58"/>
      <c r="B68" s="59">
        <v>0</v>
      </c>
      <c r="C68" s="60">
        <v>0</v>
      </c>
      <c r="D68" s="59">
        <v>0</v>
      </c>
      <c r="E68" s="60">
        <v>0</v>
      </c>
      <c r="F68" s="69">
        <v>0</v>
      </c>
      <c r="G68" s="69">
        <v>0</v>
      </c>
      <c r="H68" s="70">
        <v>0</v>
      </c>
      <c r="I68" s="71">
        <v>0</v>
      </c>
      <c r="J68" s="69">
        <v>0</v>
      </c>
      <c r="K68" s="69">
        <v>0</v>
      </c>
      <c r="L68" s="70">
        <v>0</v>
      </c>
      <c r="M68" s="72">
        <v>0</v>
      </c>
    </row>
    <row r="69" spans="1:13" x14ac:dyDescent="0.3">
      <c r="A69" s="58"/>
      <c r="B69" s="59">
        <v>0</v>
      </c>
      <c r="C69" s="60">
        <v>0</v>
      </c>
      <c r="D69" s="59">
        <v>0</v>
      </c>
      <c r="E69" s="60">
        <v>0</v>
      </c>
      <c r="F69" s="69">
        <v>0</v>
      </c>
      <c r="G69" s="69">
        <v>0</v>
      </c>
      <c r="H69" s="70">
        <v>0</v>
      </c>
      <c r="I69" s="71">
        <v>0</v>
      </c>
      <c r="J69" s="69">
        <v>0</v>
      </c>
      <c r="K69" s="69">
        <v>0</v>
      </c>
      <c r="L69" s="70">
        <v>0</v>
      </c>
      <c r="M69" s="72">
        <v>0</v>
      </c>
    </row>
    <row r="70" spans="1:13" x14ac:dyDescent="0.3">
      <c r="A70" s="58"/>
      <c r="B70" s="59">
        <v>0</v>
      </c>
      <c r="C70" s="60">
        <v>0</v>
      </c>
      <c r="D70" s="59">
        <v>0</v>
      </c>
      <c r="E70" s="60">
        <v>0</v>
      </c>
      <c r="F70" s="69">
        <v>0</v>
      </c>
      <c r="G70" s="69">
        <v>0</v>
      </c>
      <c r="H70" s="70">
        <v>0</v>
      </c>
      <c r="I70" s="71">
        <v>0</v>
      </c>
      <c r="J70" s="69">
        <v>0</v>
      </c>
      <c r="K70" s="69">
        <v>0</v>
      </c>
      <c r="L70" s="70">
        <v>0</v>
      </c>
      <c r="M70" s="72">
        <v>0</v>
      </c>
    </row>
    <row r="71" spans="1:13" x14ac:dyDescent="0.3">
      <c r="A71" s="58"/>
      <c r="B71" s="59">
        <v>0</v>
      </c>
      <c r="C71" s="60">
        <v>0</v>
      </c>
      <c r="D71" s="59">
        <v>0</v>
      </c>
      <c r="E71" s="60">
        <v>0</v>
      </c>
      <c r="F71" s="69">
        <v>0</v>
      </c>
      <c r="G71" s="69">
        <v>0</v>
      </c>
      <c r="H71" s="70">
        <v>0</v>
      </c>
      <c r="I71" s="71">
        <v>0</v>
      </c>
      <c r="J71" s="69">
        <v>0</v>
      </c>
      <c r="K71" s="69">
        <v>0</v>
      </c>
      <c r="L71" s="70">
        <v>0</v>
      </c>
      <c r="M71" s="72">
        <v>0</v>
      </c>
    </row>
    <row r="72" spans="1:13" x14ac:dyDescent="0.3">
      <c r="A72" s="58"/>
      <c r="B72" s="59">
        <v>0</v>
      </c>
      <c r="C72" s="60">
        <v>0</v>
      </c>
      <c r="D72" s="59">
        <v>0</v>
      </c>
      <c r="E72" s="60">
        <v>0</v>
      </c>
      <c r="F72" s="69">
        <v>0</v>
      </c>
      <c r="G72" s="69">
        <v>0</v>
      </c>
      <c r="H72" s="60">
        <v>0</v>
      </c>
      <c r="I72" s="60">
        <v>0</v>
      </c>
      <c r="J72" s="60">
        <v>0</v>
      </c>
      <c r="K72" s="60">
        <v>0</v>
      </c>
      <c r="L72" s="60">
        <v>0</v>
      </c>
      <c r="M72" s="72">
        <v>0</v>
      </c>
    </row>
    <row r="73" spans="1:13" x14ac:dyDescent="0.3">
      <c r="A73" s="58"/>
      <c r="B73" s="59">
        <v>0</v>
      </c>
      <c r="C73" s="60">
        <v>0</v>
      </c>
      <c r="D73" s="59">
        <v>0</v>
      </c>
      <c r="E73" s="76">
        <v>0</v>
      </c>
      <c r="F73" s="69">
        <v>0</v>
      </c>
      <c r="G73" s="69">
        <v>0</v>
      </c>
      <c r="H73" s="75">
        <v>0</v>
      </c>
      <c r="I73" s="76">
        <v>0</v>
      </c>
      <c r="J73" s="59">
        <v>0</v>
      </c>
      <c r="K73" s="59">
        <v>0</v>
      </c>
      <c r="L73" s="75">
        <v>0</v>
      </c>
      <c r="M73" s="84">
        <v>0</v>
      </c>
    </row>
    <row r="74" spans="1:13" x14ac:dyDescent="0.3">
      <c r="A74" s="58"/>
      <c r="B74" s="59">
        <v>0</v>
      </c>
      <c r="C74" s="60">
        <v>0</v>
      </c>
      <c r="D74" s="59">
        <v>0</v>
      </c>
      <c r="E74" s="60">
        <v>0</v>
      </c>
      <c r="F74" s="69">
        <v>0</v>
      </c>
      <c r="G74" s="69">
        <v>0</v>
      </c>
      <c r="H74" s="77">
        <v>0</v>
      </c>
      <c r="I74" s="60">
        <v>0</v>
      </c>
      <c r="J74" s="59">
        <v>0</v>
      </c>
      <c r="K74" s="59">
        <v>0</v>
      </c>
      <c r="L74" s="77">
        <v>0</v>
      </c>
      <c r="M74" s="85">
        <v>0</v>
      </c>
    </row>
    <row r="75" spans="1:13" x14ac:dyDescent="0.3">
      <c r="A75" s="58"/>
      <c r="B75" s="59">
        <v>0</v>
      </c>
      <c r="C75" s="60">
        <v>0</v>
      </c>
      <c r="D75" s="59">
        <v>0</v>
      </c>
      <c r="E75" s="60">
        <v>0</v>
      </c>
      <c r="F75" s="69">
        <v>0</v>
      </c>
      <c r="G75" s="69">
        <v>0</v>
      </c>
      <c r="H75" s="77">
        <v>0</v>
      </c>
      <c r="I75" s="60">
        <v>0</v>
      </c>
      <c r="J75" s="59">
        <v>0</v>
      </c>
      <c r="K75" s="59">
        <v>0</v>
      </c>
      <c r="L75" s="77">
        <v>0</v>
      </c>
      <c r="M75" s="85">
        <v>0</v>
      </c>
    </row>
    <row r="76" spans="1:13" x14ac:dyDescent="0.3">
      <c r="A76" s="58"/>
      <c r="B76" s="59">
        <v>0</v>
      </c>
      <c r="C76" s="60">
        <v>0</v>
      </c>
      <c r="D76" s="59">
        <v>0</v>
      </c>
      <c r="E76" s="60">
        <v>0</v>
      </c>
      <c r="F76" s="69">
        <v>0</v>
      </c>
      <c r="G76" s="69">
        <v>0</v>
      </c>
      <c r="H76" s="77">
        <v>0</v>
      </c>
      <c r="I76" s="60">
        <v>0</v>
      </c>
      <c r="J76" s="59">
        <v>0</v>
      </c>
      <c r="K76" s="59">
        <v>0</v>
      </c>
      <c r="L76" s="77">
        <v>0</v>
      </c>
      <c r="M76" s="85">
        <v>0</v>
      </c>
    </row>
    <row r="77" spans="1:13" x14ac:dyDescent="0.3">
      <c r="A77" s="58"/>
      <c r="B77" s="59">
        <v>0</v>
      </c>
      <c r="C77" s="60">
        <v>0</v>
      </c>
      <c r="D77" s="59">
        <v>0</v>
      </c>
      <c r="E77" s="60">
        <v>0</v>
      </c>
      <c r="F77" s="69">
        <v>0</v>
      </c>
      <c r="G77" s="69">
        <v>0</v>
      </c>
      <c r="H77" s="77">
        <v>0</v>
      </c>
      <c r="I77" s="60">
        <v>0</v>
      </c>
      <c r="J77" s="59">
        <v>0</v>
      </c>
      <c r="K77" s="59">
        <v>0</v>
      </c>
      <c r="L77" s="77">
        <v>0</v>
      </c>
      <c r="M77" s="85">
        <v>0</v>
      </c>
    </row>
    <row r="78" spans="1:13" x14ac:dyDescent="0.3">
      <c r="A78" s="58"/>
      <c r="B78" s="59">
        <v>0</v>
      </c>
      <c r="C78" s="60">
        <v>0</v>
      </c>
      <c r="D78" s="59">
        <v>0</v>
      </c>
      <c r="E78" s="60">
        <v>0</v>
      </c>
      <c r="F78" s="69">
        <v>0</v>
      </c>
      <c r="G78" s="69">
        <v>0</v>
      </c>
      <c r="H78" s="77">
        <v>0</v>
      </c>
      <c r="I78" s="60">
        <v>0</v>
      </c>
      <c r="J78" s="59">
        <v>0</v>
      </c>
      <c r="K78" s="59">
        <v>0</v>
      </c>
      <c r="L78" s="77">
        <v>0</v>
      </c>
      <c r="M78" s="85">
        <v>0</v>
      </c>
    </row>
    <row r="79" spans="1:13" x14ac:dyDescent="0.3">
      <c r="A79" s="58"/>
      <c r="B79" s="59">
        <v>0</v>
      </c>
      <c r="C79" s="60">
        <v>0</v>
      </c>
      <c r="D79" s="59">
        <v>0</v>
      </c>
      <c r="E79" s="60">
        <v>0</v>
      </c>
      <c r="F79" s="69">
        <v>0</v>
      </c>
      <c r="G79" s="69">
        <v>0</v>
      </c>
      <c r="H79" s="77">
        <v>0</v>
      </c>
      <c r="I79" s="60">
        <v>0</v>
      </c>
      <c r="J79" s="59">
        <v>0</v>
      </c>
      <c r="K79" s="59">
        <v>0</v>
      </c>
      <c r="L79" s="77">
        <v>0</v>
      </c>
      <c r="M79" s="85">
        <v>0</v>
      </c>
    </row>
    <row r="80" spans="1:13" x14ac:dyDescent="0.3">
      <c r="A80" s="58"/>
      <c r="B80" s="59">
        <v>0</v>
      </c>
      <c r="C80" s="60">
        <v>0</v>
      </c>
      <c r="D80" s="59">
        <v>0</v>
      </c>
      <c r="E80" s="60">
        <v>0</v>
      </c>
      <c r="F80" s="69">
        <v>0</v>
      </c>
      <c r="G80" s="69">
        <v>0</v>
      </c>
      <c r="H80" s="77">
        <v>0</v>
      </c>
      <c r="I80" s="60">
        <v>0</v>
      </c>
      <c r="J80" s="59">
        <v>0</v>
      </c>
      <c r="K80" s="59">
        <v>0</v>
      </c>
      <c r="L80" s="77">
        <v>0</v>
      </c>
      <c r="M80" s="85">
        <v>0</v>
      </c>
    </row>
    <row r="81" spans="1:13" x14ac:dyDescent="0.3">
      <c r="A81" s="58"/>
      <c r="B81" s="59">
        <v>0</v>
      </c>
      <c r="C81" s="60">
        <v>0</v>
      </c>
      <c r="D81" s="59">
        <v>0</v>
      </c>
      <c r="E81" s="60">
        <v>0</v>
      </c>
      <c r="F81" s="69">
        <v>0</v>
      </c>
      <c r="G81" s="69">
        <v>0</v>
      </c>
      <c r="H81" s="77">
        <v>0</v>
      </c>
      <c r="I81" s="60">
        <v>0</v>
      </c>
      <c r="J81" s="59">
        <v>0</v>
      </c>
      <c r="K81" s="59">
        <v>0</v>
      </c>
      <c r="L81" s="77">
        <v>0</v>
      </c>
      <c r="M81" s="85">
        <v>0</v>
      </c>
    </row>
    <row r="82" spans="1:13" x14ac:dyDescent="0.3">
      <c r="A82" s="58"/>
      <c r="B82" s="59">
        <v>0</v>
      </c>
      <c r="C82" s="60">
        <v>0</v>
      </c>
      <c r="D82" s="59">
        <v>0</v>
      </c>
      <c r="E82" s="60">
        <v>0</v>
      </c>
      <c r="F82" s="69">
        <v>0</v>
      </c>
      <c r="G82" s="69">
        <v>0</v>
      </c>
      <c r="H82" s="77">
        <v>0</v>
      </c>
      <c r="I82" s="60">
        <v>0</v>
      </c>
      <c r="J82" s="59">
        <v>0</v>
      </c>
      <c r="K82" s="59">
        <v>0</v>
      </c>
      <c r="L82" s="77">
        <v>0</v>
      </c>
      <c r="M82" s="85">
        <v>0</v>
      </c>
    </row>
    <row r="83" spans="1:13" x14ac:dyDescent="0.3">
      <c r="A83" s="58"/>
      <c r="B83" s="59">
        <v>0</v>
      </c>
      <c r="C83" s="60">
        <v>0</v>
      </c>
      <c r="D83" s="59">
        <v>0</v>
      </c>
      <c r="E83" s="60">
        <v>0</v>
      </c>
      <c r="F83" s="69">
        <v>0</v>
      </c>
      <c r="G83" s="69">
        <v>0</v>
      </c>
      <c r="H83" s="77">
        <v>0</v>
      </c>
      <c r="I83" s="60">
        <v>0</v>
      </c>
      <c r="J83" s="59">
        <v>0</v>
      </c>
      <c r="K83" s="59">
        <v>0</v>
      </c>
      <c r="L83" s="77">
        <v>0</v>
      </c>
      <c r="M83" s="85">
        <v>0</v>
      </c>
    </row>
    <row r="84" spans="1:13" x14ac:dyDescent="0.3">
      <c r="A84" s="58"/>
      <c r="B84" s="59">
        <v>0</v>
      </c>
      <c r="C84" s="60">
        <v>0</v>
      </c>
      <c r="D84" s="59">
        <v>0</v>
      </c>
      <c r="E84" s="60">
        <v>0</v>
      </c>
      <c r="F84" s="69">
        <v>0</v>
      </c>
      <c r="G84" s="69">
        <v>0</v>
      </c>
      <c r="H84" s="77">
        <v>0</v>
      </c>
      <c r="I84" s="60">
        <v>0</v>
      </c>
      <c r="J84" s="59">
        <v>0</v>
      </c>
      <c r="K84" s="59">
        <v>0</v>
      </c>
      <c r="L84" s="77">
        <v>0</v>
      </c>
      <c r="M84" s="85">
        <v>0</v>
      </c>
    </row>
    <row r="85" spans="1:13" x14ac:dyDescent="0.3">
      <c r="A85" s="58"/>
      <c r="B85" s="59">
        <v>0</v>
      </c>
      <c r="C85" s="60">
        <v>0</v>
      </c>
      <c r="D85" s="77">
        <v>0</v>
      </c>
      <c r="E85" s="60">
        <v>0</v>
      </c>
      <c r="F85" s="69">
        <v>0</v>
      </c>
      <c r="G85" s="69">
        <v>0</v>
      </c>
      <c r="H85" s="77">
        <v>0</v>
      </c>
      <c r="I85" s="60">
        <v>0</v>
      </c>
      <c r="J85" s="59">
        <v>0</v>
      </c>
      <c r="K85" s="59">
        <v>0</v>
      </c>
      <c r="L85" s="77">
        <v>0</v>
      </c>
      <c r="M85" s="85">
        <v>0</v>
      </c>
    </row>
    <row r="86" spans="1:13" x14ac:dyDescent="0.3">
      <c r="A86" s="58"/>
      <c r="B86" s="59">
        <v>0</v>
      </c>
      <c r="C86" s="60">
        <v>0</v>
      </c>
      <c r="D86" s="77">
        <v>0</v>
      </c>
      <c r="E86" s="60">
        <v>0</v>
      </c>
      <c r="F86" s="69">
        <v>0</v>
      </c>
      <c r="G86" s="69">
        <v>0</v>
      </c>
      <c r="H86" s="77">
        <v>0</v>
      </c>
      <c r="I86" s="60">
        <v>0</v>
      </c>
      <c r="J86" s="59">
        <v>0</v>
      </c>
      <c r="K86" s="59">
        <v>0</v>
      </c>
      <c r="L86" s="77">
        <v>0</v>
      </c>
      <c r="M86" s="85">
        <v>0</v>
      </c>
    </row>
    <row r="87" spans="1:13" x14ac:dyDescent="0.3">
      <c r="A87" s="58"/>
      <c r="B87" s="59">
        <v>0</v>
      </c>
      <c r="C87" s="60">
        <v>0</v>
      </c>
      <c r="D87" s="77">
        <v>0</v>
      </c>
      <c r="E87" s="60">
        <v>0</v>
      </c>
      <c r="F87" s="69">
        <v>0</v>
      </c>
      <c r="G87" s="69">
        <v>0</v>
      </c>
      <c r="H87" s="77">
        <v>0</v>
      </c>
      <c r="I87" s="60">
        <v>0</v>
      </c>
      <c r="J87" s="59">
        <v>0</v>
      </c>
      <c r="K87" s="59">
        <v>0</v>
      </c>
      <c r="L87" s="77">
        <v>0</v>
      </c>
      <c r="M87" s="85">
        <v>0</v>
      </c>
    </row>
    <row r="88" spans="1:13" x14ac:dyDescent="0.3">
      <c r="A88" s="58"/>
      <c r="B88" s="59">
        <v>0</v>
      </c>
      <c r="C88" s="60">
        <v>0</v>
      </c>
      <c r="D88" s="77">
        <v>0</v>
      </c>
      <c r="E88" s="60">
        <v>0</v>
      </c>
      <c r="F88" s="69">
        <v>0</v>
      </c>
      <c r="G88" s="69">
        <v>0</v>
      </c>
      <c r="H88" s="77">
        <v>0</v>
      </c>
      <c r="I88" s="60">
        <v>0</v>
      </c>
      <c r="J88" s="59">
        <v>0</v>
      </c>
      <c r="K88" s="59">
        <v>0</v>
      </c>
      <c r="L88" s="77">
        <v>0</v>
      </c>
      <c r="M88" s="85">
        <v>0</v>
      </c>
    </row>
    <row r="89" spans="1:13" x14ac:dyDescent="0.3">
      <c r="A89" s="58"/>
      <c r="B89" s="59">
        <v>0</v>
      </c>
      <c r="C89" s="60">
        <v>0</v>
      </c>
      <c r="D89" s="77">
        <v>0</v>
      </c>
      <c r="E89" s="60">
        <v>0</v>
      </c>
      <c r="F89" s="69">
        <v>0</v>
      </c>
      <c r="G89" s="69">
        <v>0</v>
      </c>
      <c r="H89" s="77">
        <v>0</v>
      </c>
      <c r="I89" s="60">
        <v>0</v>
      </c>
      <c r="J89" s="59">
        <v>0</v>
      </c>
      <c r="K89" s="59">
        <v>0</v>
      </c>
      <c r="L89" s="77">
        <v>0</v>
      </c>
      <c r="M89" s="85">
        <v>0</v>
      </c>
    </row>
    <row r="90" spans="1:13" x14ac:dyDescent="0.3">
      <c r="A90" s="58"/>
      <c r="B90" s="59">
        <v>0</v>
      </c>
      <c r="C90" s="60">
        <v>0</v>
      </c>
      <c r="D90" s="77">
        <v>0</v>
      </c>
      <c r="E90" s="60">
        <v>0</v>
      </c>
      <c r="F90" s="69">
        <v>0</v>
      </c>
      <c r="G90" s="69">
        <v>0</v>
      </c>
      <c r="H90" s="77">
        <v>0</v>
      </c>
      <c r="I90" s="60">
        <v>0</v>
      </c>
      <c r="J90" s="59">
        <v>0</v>
      </c>
      <c r="K90" s="59">
        <v>0</v>
      </c>
      <c r="L90" s="77">
        <v>0</v>
      </c>
      <c r="M90" s="85">
        <v>0</v>
      </c>
    </row>
    <row r="91" spans="1:13" x14ac:dyDescent="0.3">
      <c r="A91" s="58"/>
      <c r="B91" s="59">
        <v>0</v>
      </c>
      <c r="C91" s="60">
        <v>0</v>
      </c>
      <c r="D91" s="77">
        <v>0</v>
      </c>
      <c r="E91" s="60">
        <v>0</v>
      </c>
      <c r="F91" s="69">
        <v>0</v>
      </c>
      <c r="G91" s="69">
        <v>0</v>
      </c>
      <c r="H91" s="77">
        <v>0</v>
      </c>
      <c r="I91" s="60">
        <v>0</v>
      </c>
      <c r="J91" s="59">
        <v>0</v>
      </c>
      <c r="K91" s="59">
        <v>0</v>
      </c>
      <c r="L91" s="77">
        <v>0</v>
      </c>
      <c r="M91" s="85">
        <v>0</v>
      </c>
    </row>
    <row r="92" spans="1:13" x14ac:dyDescent="0.3">
      <c r="A92" s="58"/>
      <c r="B92" s="59">
        <v>0</v>
      </c>
      <c r="C92" s="60">
        <v>0</v>
      </c>
      <c r="D92" s="77">
        <v>0</v>
      </c>
      <c r="E92" s="60">
        <v>0</v>
      </c>
      <c r="F92" s="69">
        <v>0</v>
      </c>
      <c r="G92" s="69">
        <v>0</v>
      </c>
      <c r="H92" s="77">
        <v>0</v>
      </c>
      <c r="I92" s="60">
        <v>0</v>
      </c>
      <c r="J92" s="59">
        <v>0</v>
      </c>
      <c r="K92" s="59">
        <v>0</v>
      </c>
      <c r="L92" s="77">
        <v>0</v>
      </c>
      <c r="M92" s="85">
        <v>0</v>
      </c>
    </row>
    <row r="93" spans="1:13" x14ac:dyDescent="0.3">
      <c r="A93" s="58"/>
      <c r="B93" s="59">
        <v>0</v>
      </c>
      <c r="C93" s="60">
        <v>0</v>
      </c>
      <c r="D93" s="77">
        <v>0</v>
      </c>
      <c r="E93" s="60">
        <v>0</v>
      </c>
      <c r="F93" s="69">
        <v>0</v>
      </c>
      <c r="G93" s="69">
        <v>0</v>
      </c>
      <c r="H93" s="77">
        <v>0</v>
      </c>
      <c r="I93" s="60">
        <v>0</v>
      </c>
      <c r="J93" s="59">
        <v>0</v>
      </c>
      <c r="K93" s="59">
        <v>0</v>
      </c>
      <c r="L93" s="77">
        <v>0</v>
      </c>
      <c r="M93" s="85">
        <v>0</v>
      </c>
    </row>
    <row r="94" spans="1:13" x14ac:dyDescent="0.3">
      <c r="A94" s="58"/>
      <c r="B94" s="59">
        <v>0</v>
      </c>
      <c r="C94" s="60">
        <v>0</v>
      </c>
      <c r="D94" s="77">
        <v>0</v>
      </c>
      <c r="E94" s="60">
        <v>0</v>
      </c>
      <c r="F94" s="69">
        <v>0</v>
      </c>
      <c r="G94" s="69">
        <v>0</v>
      </c>
      <c r="H94" s="77">
        <v>0</v>
      </c>
      <c r="I94" s="60">
        <v>0</v>
      </c>
      <c r="J94" s="59">
        <v>0</v>
      </c>
      <c r="K94" s="59">
        <v>0</v>
      </c>
      <c r="L94" s="77">
        <v>0</v>
      </c>
      <c r="M94" s="85">
        <v>0</v>
      </c>
    </row>
    <row r="95" spans="1:13" x14ac:dyDescent="0.3">
      <c r="A95" s="58"/>
      <c r="B95" s="59">
        <v>0</v>
      </c>
      <c r="C95" s="60">
        <v>0</v>
      </c>
      <c r="D95" s="77">
        <v>0</v>
      </c>
      <c r="E95" s="60">
        <v>0</v>
      </c>
      <c r="F95" s="69">
        <v>0</v>
      </c>
      <c r="G95" s="69">
        <v>0</v>
      </c>
      <c r="H95" s="77">
        <v>0</v>
      </c>
      <c r="I95" s="60">
        <v>0</v>
      </c>
      <c r="J95" s="59">
        <v>0</v>
      </c>
      <c r="K95" s="59">
        <v>0</v>
      </c>
      <c r="L95" s="77">
        <v>0</v>
      </c>
      <c r="M95" s="85">
        <v>0</v>
      </c>
    </row>
    <row r="96" spans="1:13" x14ac:dyDescent="0.3">
      <c r="A96" s="58"/>
      <c r="B96" s="59">
        <v>0</v>
      </c>
      <c r="C96" s="60">
        <v>0</v>
      </c>
      <c r="D96" s="77">
        <v>0</v>
      </c>
      <c r="E96" s="60">
        <v>0</v>
      </c>
      <c r="F96" s="69">
        <v>0</v>
      </c>
      <c r="G96" s="69">
        <v>0</v>
      </c>
      <c r="H96" s="77">
        <v>0</v>
      </c>
      <c r="I96" s="60">
        <v>0</v>
      </c>
      <c r="J96" s="59">
        <v>0</v>
      </c>
      <c r="K96" s="59">
        <v>0</v>
      </c>
      <c r="L96" s="77">
        <v>0</v>
      </c>
      <c r="M96" s="85">
        <v>0</v>
      </c>
    </row>
    <row r="97" spans="1:13" x14ac:dyDescent="0.3">
      <c r="A97" s="58"/>
      <c r="B97" s="59">
        <v>0</v>
      </c>
      <c r="C97" s="60">
        <v>0</v>
      </c>
      <c r="D97" s="77">
        <v>0</v>
      </c>
      <c r="E97" s="60">
        <v>0</v>
      </c>
      <c r="F97" s="69">
        <v>0</v>
      </c>
      <c r="G97" s="69">
        <v>0</v>
      </c>
      <c r="H97" s="77">
        <v>0</v>
      </c>
      <c r="I97" s="60">
        <v>0</v>
      </c>
      <c r="J97" s="59">
        <v>0</v>
      </c>
      <c r="K97" s="59">
        <v>0</v>
      </c>
      <c r="L97" s="77">
        <v>0</v>
      </c>
      <c r="M97" s="85">
        <v>0</v>
      </c>
    </row>
    <row r="98" spans="1:13" x14ac:dyDescent="0.3">
      <c r="A98" s="58"/>
      <c r="B98" s="59">
        <v>0</v>
      </c>
      <c r="C98" s="60">
        <v>0</v>
      </c>
      <c r="D98" s="77">
        <v>0</v>
      </c>
      <c r="E98" s="60">
        <v>0</v>
      </c>
      <c r="F98" s="69">
        <v>0</v>
      </c>
      <c r="G98" s="69">
        <v>0</v>
      </c>
      <c r="H98" s="77">
        <v>0</v>
      </c>
      <c r="I98" s="60">
        <v>0</v>
      </c>
      <c r="J98" s="59">
        <v>0</v>
      </c>
      <c r="K98" s="59">
        <v>0</v>
      </c>
      <c r="L98" s="77">
        <v>0</v>
      </c>
      <c r="M98" s="85">
        <v>0</v>
      </c>
    </row>
    <row r="99" spans="1:13" x14ac:dyDescent="0.3">
      <c r="A99" s="58"/>
      <c r="B99" s="59">
        <v>0</v>
      </c>
      <c r="C99" s="60">
        <v>0</v>
      </c>
      <c r="D99" s="77">
        <v>0</v>
      </c>
      <c r="E99" s="60">
        <v>0</v>
      </c>
      <c r="F99" s="69">
        <v>0</v>
      </c>
      <c r="G99" s="69">
        <v>0</v>
      </c>
      <c r="H99" s="77">
        <v>0</v>
      </c>
      <c r="I99" s="60">
        <v>0</v>
      </c>
      <c r="J99" s="59">
        <v>0</v>
      </c>
      <c r="K99" s="59">
        <v>0</v>
      </c>
      <c r="L99" s="77">
        <v>0</v>
      </c>
      <c r="M99" s="85">
        <v>0</v>
      </c>
    </row>
    <row r="100" spans="1:13" x14ac:dyDescent="0.3">
      <c r="A100" s="58"/>
      <c r="B100" s="59">
        <v>0</v>
      </c>
      <c r="C100" s="60">
        <v>0</v>
      </c>
      <c r="D100" s="77">
        <v>0</v>
      </c>
      <c r="E100" s="60">
        <v>0</v>
      </c>
      <c r="F100" s="69">
        <v>0</v>
      </c>
      <c r="G100" s="69">
        <v>0</v>
      </c>
      <c r="H100" s="77">
        <v>0</v>
      </c>
      <c r="I100" s="60">
        <v>0</v>
      </c>
      <c r="J100" s="59">
        <v>0</v>
      </c>
      <c r="K100" s="59">
        <v>0</v>
      </c>
      <c r="L100" s="77">
        <v>0</v>
      </c>
      <c r="M100" s="85">
        <v>0</v>
      </c>
    </row>
    <row r="101" spans="1:13" x14ac:dyDescent="0.3">
      <c r="A101" s="58"/>
      <c r="B101" s="59">
        <v>0</v>
      </c>
      <c r="C101" s="60">
        <v>0</v>
      </c>
      <c r="D101" s="77">
        <v>0</v>
      </c>
      <c r="E101" s="60">
        <v>0</v>
      </c>
      <c r="F101" s="69">
        <v>0</v>
      </c>
      <c r="G101" s="69">
        <v>0</v>
      </c>
      <c r="H101" s="77">
        <v>0</v>
      </c>
      <c r="I101" s="60">
        <v>0</v>
      </c>
      <c r="J101" s="59">
        <v>0</v>
      </c>
      <c r="K101" s="59">
        <v>0</v>
      </c>
      <c r="L101" s="77">
        <v>0</v>
      </c>
      <c r="M101" s="85">
        <v>0</v>
      </c>
    </row>
    <row r="102" spans="1:13" x14ac:dyDescent="0.3">
      <c r="A102" s="58"/>
      <c r="B102" s="59">
        <v>0</v>
      </c>
      <c r="C102" s="60">
        <v>0</v>
      </c>
      <c r="D102" s="77">
        <v>0</v>
      </c>
      <c r="E102" s="60">
        <v>0</v>
      </c>
      <c r="F102" s="69">
        <v>0</v>
      </c>
      <c r="G102" s="69">
        <v>0</v>
      </c>
      <c r="H102" s="77">
        <v>0</v>
      </c>
      <c r="I102" s="60">
        <v>0</v>
      </c>
      <c r="J102" s="59">
        <v>0</v>
      </c>
      <c r="K102" s="59">
        <v>0</v>
      </c>
      <c r="L102" s="77">
        <v>0</v>
      </c>
      <c r="M102" s="85">
        <v>0</v>
      </c>
    </row>
    <row r="103" spans="1:13" x14ac:dyDescent="0.3">
      <c r="A103" s="58"/>
      <c r="B103" s="59">
        <v>0</v>
      </c>
      <c r="C103" s="60">
        <v>0</v>
      </c>
      <c r="D103" s="77">
        <v>0</v>
      </c>
      <c r="E103" s="60">
        <v>0</v>
      </c>
      <c r="F103" s="69">
        <v>0</v>
      </c>
      <c r="G103" s="59">
        <v>0</v>
      </c>
      <c r="H103" s="77">
        <v>0</v>
      </c>
      <c r="I103" s="60">
        <v>0</v>
      </c>
      <c r="J103" s="59">
        <v>0</v>
      </c>
      <c r="K103" s="55">
        <v>0</v>
      </c>
      <c r="L103" s="77">
        <v>0</v>
      </c>
      <c r="M103" s="85">
        <v>0</v>
      </c>
    </row>
    <row r="104" spans="1:13" x14ac:dyDescent="0.3">
      <c r="A104" s="58"/>
      <c r="B104" s="59">
        <v>0</v>
      </c>
      <c r="C104" s="60">
        <v>0</v>
      </c>
      <c r="D104" s="77">
        <v>0</v>
      </c>
      <c r="E104" s="60">
        <v>0</v>
      </c>
      <c r="F104" s="69">
        <v>0</v>
      </c>
      <c r="G104" s="59">
        <v>0</v>
      </c>
      <c r="H104" s="80">
        <v>0</v>
      </c>
      <c r="I104" s="81">
        <v>0</v>
      </c>
      <c r="J104" s="73">
        <v>0</v>
      </c>
      <c r="K104" s="55">
        <v>0</v>
      </c>
      <c r="L104" s="77">
        <v>0</v>
      </c>
      <c r="M104" s="85">
        <v>0</v>
      </c>
    </row>
    <row r="105" spans="1:13" x14ac:dyDescent="0.3">
      <c r="A105" s="58"/>
      <c r="B105" s="59">
        <v>0</v>
      </c>
      <c r="C105" s="60">
        <v>0</v>
      </c>
      <c r="D105" s="77">
        <v>0</v>
      </c>
      <c r="E105" s="60">
        <v>0</v>
      </c>
      <c r="F105" s="69">
        <v>0</v>
      </c>
      <c r="G105" s="59">
        <v>0</v>
      </c>
      <c r="H105" s="80">
        <v>0</v>
      </c>
      <c r="I105" s="81">
        <v>0</v>
      </c>
      <c r="J105" s="73">
        <v>0</v>
      </c>
      <c r="K105" s="55">
        <v>0</v>
      </c>
      <c r="L105" s="80">
        <v>0</v>
      </c>
      <c r="M105" s="85">
        <v>0</v>
      </c>
    </row>
    <row r="106" spans="1:13" ht="21" thickBot="1" x14ac:dyDescent="0.35">
      <c r="A106" s="58"/>
      <c r="B106" s="59">
        <v>0</v>
      </c>
      <c r="C106" s="60">
        <v>0</v>
      </c>
      <c r="D106" s="78">
        <v>0</v>
      </c>
      <c r="E106" s="79">
        <v>0</v>
      </c>
      <c r="F106" s="59">
        <v>0</v>
      </c>
      <c r="G106" s="59">
        <v>0</v>
      </c>
      <c r="H106" s="82">
        <v>0</v>
      </c>
      <c r="I106" s="83">
        <v>0</v>
      </c>
      <c r="J106" s="73">
        <v>0</v>
      </c>
      <c r="K106" s="55">
        <v>0</v>
      </c>
      <c r="L106" s="82">
        <v>0</v>
      </c>
      <c r="M106" s="86">
        <v>0</v>
      </c>
    </row>
    <row r="107" spans="1:13" ht="22" thickTop="1" thickBot="1" x14ac:dyDescent="0.35">
      <c r="A107" s="62" t="s">
        <v>32</v>
      </c>
      <c r="B107" s="63">
        <f t="shared" ref="B107:M107" si="14">0+SUM(B61:B106)</f>
        <v>0</v>
      </c>
      <c r="C107" s="63">
        <f t="shared" si="14"/>
        <v>0</v>
      </c>
      <c r="D107" s="63">
        <f t="shared" si="14"/>
        <v>0</v>
      </c>
      <c r="E107" s="63">
        <f t="shared" si="14"/>
        <v>0</v>
      </c>
      <c r="F107" s="63">
        <f t="shared" si="14"/>
        <v>0</v>
      </c>
      <c r="G107" s="63">
        <f t="shared" si="14"/>
        <v>0</v>
      </c>
      <c r="H107" s="63">
        <f t="shared" si="14"/>
        <v>0</v>
      </c>
      <c r="I107" s="63">
        <f t="shared" si="14"/>
        <v>0</v>
      </c>
      <c r="J107" s="63">
        <f t="shared" si="14"/>
        <v>0</v>
      </c>
      <c r="K107" s="63">
        <f t="shared" si="14"/>
        <v>0</v>
      </c>
      <c r="L107" s="63">
        <f t="shared" si="14"/>
        <v>0</v>
      </c>
      <c r="M107" s="63">
        <f t="shared" si="14"/>
        <v>0</v>
      </c>
    </row>
    <row r="108" spans="1:13" ht="21" thickTop="1" x14ac:dyDescent="0.3">
      <c r="A108" s="57"/>
      <c r="B108" s="57" t="s">
        <v>34</v>
      </c>
      <c r="C108" s="57" t="s">
        <v>36</v>
      </c>
      <c r="D108" s="57" t="s">
        <v>34</v>
      </c>
      <c r="E108" s="57" t="s">
        <v>36</v>
      </c>
      <c r="F108" s="57" t="s">
        <v>34</v>
      </c>
      <c r="G108" s="57" t="s">
        <v>36</v>
      </c>
      <c r="H108" s="57" t="s">
        <v>34</v>
      </c>
      <c r="I108" s="57" t="s">
        <v>36</v>
      </c>
      <c r="J108" s="57" t="s">
        <v>34</v>
      </c>
      <c r="K108" s="57" t="s">
        <v>36</v>
      </c>
      <c r="L108" s="57" t="s">
        <v>34</v>
      </c>
      <c r="M108" s="57" t="s">
        <v>36</v>
      </c>
    </row>
    <row r="109" spans="1:13" x14ac:dyDescent="0.3">
      <c r="A109" s="64" t="s">
        <v>41</v>
      </c>
      <c r="B109" s="65">
        <f t="shared" ref="B109:M109" si="15">0%+AVERAGE(B61:B106)</f>
        <v>0</v>
      </c>
      <c r="C109" s="65">
        <f t="shared" si="15"/>
        <v>0</v>
      </c>
      <c r="D109" s="65">
        <f t="shared" si="15"/>
        <v>0</v>
      </c>
      <c r="E109" s="65">
        <f t="shared" si="15"/>
        <v>0</v>
      </c>
      <c r="F109" s="65">
        <f t="shared" si="15"/>
        <v>0</v>
      </c>
      <c r="G109" s="65">
        <f t="shared" si="15"/>
        <v>0</v>
      </c>
      <c r="H109" s="65">
        <f t="shared" si="15"/>
        <v>0</v>
      </c>
      <c r="I109" s="65">
        <f t="shared" si="15"/>
        <v>0</v>
      </c>
      <c r="J109" s="65">
        <f t="shared" si="15"/>
        <v>0</v>
      </c>
      <c r="K109" s="65">
        <f t="shared" si="15"/>
        <v>0</v>
      </c>
      <c r="L109" s="65">
        <f t="shared" si="15"/>
        <v>0</v>
      </c>
      <c r="M109" s="65">
        <f t="shared" si="15"/>
        <v>0</v>
      </c>
    </row>
    <row r="110" spans="1:13" x14ac:dyDescent="0.3">
      <c r="A110" s="55" t="s">
        <v>43</v>
      </c>
      <c r="B110" s="119">
        <f>0%+SUM(B109,C109)</f>
        <v>0</v>
      </c>
      <c r="C110" s="120"/>
      <c r="D110" s="119">
        <f>0%+SUM(D109,E109)</f>
        <v>0</v>
      </c>
      <c r="E110" s="120"/>
      <c r="F110" s="119">
        <f>0%+SUM(F109,G109)</f>
        <v>0</v>
      </c>
      <c r="G110" s="120"/>
      <c r="H110" s="119">
        <f>0%+SUM(H109,I109)</f>
        <v>0</v>
      </c>
      <c r="I110" s="120"/>
      <c r="J110" s="119">
        <f>0%+SUM(J109,K109)</f>
        <v>0</v>
      </c>
      <c r="K110" s="120"/>
      <c r="L110" s="119">
        <f>0%+SUM(L109,M109)</f>
        <v>0</v>
      </c>
      <c r="M110" s="120"/>
    </row>
    <row r="112" spans="1:13" x14ac:dyDescent="0.3">
      <c r="A112" t="s">
        <v>109</v>
      </c>
      <c r="B112">
        <f>SUM(B3:B25,B33:B53,B61:B106)</f>
        <v>0</v>
      </c>
      <c r="C112">
        <f t="shared" ref="C112:M112" si="16">SUM(C3:C25,C33:C53,C61:C106)</f>
        <v>0</v>
      </c>
      <c r="D112">
        <f t="shared" si="16"/>
        <v>0</v>
      </c>
      <c r="E112">
        <f t="shared" si="16"/>
        <v>0</v>
      </c>
      <c r="F112">
        <f t="shared" si="16"/>
        <v>0</v>
      </c>
      <c r="G112">
        <f t="shared" si="16"/>
        <v>0</v>
      </c>
      <c r="H112">
        <f t="shared" si="16"/>
        <v>0</v>
      </c>
      <c r="I112">
        <f t="shared" si="16"/>
        <v>0</v>
      </c>
      <c r="J112">
        <f t="shared" si="16"/>
        <v>0</v>
      </c>
      <c r="K112">
        <f t="shared" si="16"/>
        <v>0</v>
      </c>
      <c r="L112">
        <f t="shared" si="16"/>
        <v>0</v>
      </c>
      <c r="M112">
        <f t="shared" si="16"/>
        <v>0</v>
      </c>
    </row>
    <row r="113" spans="1:13" x14ac:dyDescent="0.3">
      <c r="A113" t="s">
        <v>110</v>
      </c>
      <c r="B113" s="42">
        <f>AVERAGE(B3:B25,B33:B53,B61:B106)</f>
        <v>0</v>
      </c>
      <c r="C113" s="42">
        <f t="shared" ref="C113:M113" si="17">AVERAGE(C3:C25,C33:C53,C61:C106)</f>
        <v>0</v>
      </c>
      <c r="D113" s="42">
        <f t="shared" si="17"/>
        <v>0</v>
      </c>
      <c r="E113" s="42">
        <f t="shared" si="17"/>
        <v>0</v>
      </c>
      <c r="F113" s="42">
        <f t="shared" si="17"/>
        <v>0</v>
      </c>
      <c r="G113" s="42">
        <f t="shared" si="17"/>
        <v>0</v>
      </c>
      <c r="H113" s="42">
        <f t="shared" si="17"/>
        <v>0</v>
      </c>
      <c r="I113" s="42">
        <f t="shared" si="17"/>
        <v>0</v>
      </c>
      <c r="J113" s="42">
        <f t="shared" si="17"/>
        <v>0</v>
      </c>
      <c r="K113" s="42">
        <f t="shared" si="17"/>
        <v>0</v>
      </c>
      <c r="L113" s="42">
        <f t="shared" si="17"/>
        <v>0</v>
      </c>
      <c r="M113" s="42">
        <f t="shared" si="17"/>
        <v>0</v>
      </c>
    </row>
    <row r="114" spans="1:13" x14ac:dyDescent="0.3">
      <c r="A114" t="s">
        <v>111</v>
      </c>
      <c r="B114" s="42">
        <f>SUM(B113:C113)</f>
        <v>0</v>
      </c>
      <c r="D114" s="42">
        <f>SUM(D113:E113)</f>
        <v>0</v>
      </c>
      <c r="F114" s="42">
        <f>SUM(F113:G113)</f>
        <v>0</v>
      </c>
      <c r="H114" s="42">
        <f>SUM(H113:I113)</f>
        <v>0</v>
      </c>
      <c r="J114" s="42">
        <f>SUM(J113:K113)</f>
        <v>0</v>
      </c>
      <c r="K114" s="42"/>
      <c r="L114" s="42">
        <f t="shared" ref="L114" si="18">SUM(L113:M113)</f>
        <v>0</v>
      </c>
      <c r="M114" s="42"/>
    </row>
  </sheetData>
  <mergeCells count="39">
    <mergeCell ref="F110:G110"/>
    <mergeCell ref="H110:I110"/>
    <mergeCell ref="J110:K110"/>
    <mergeCell ref="L110:M110"/>
    <mergeCell ref="H57:I57"/>
    <mergeCell ref="J57:K57"/>
    <mergeCell ref="L57:M57"/>
    <mergeCell ref="B59:M59"/>
    <mergeCell ref="B60:C60"/>
    <mergeCell ref="D60:E60"/>
    <mergeCell ref="F60:G60"/>
    <mergeCell ref="H60:I60"/>
    <mergeCell ref="J60:K60"/>
    <mergeCell ref="L60:M60"/>
    <mergeCell ref="B57:C57"/>
    <mergeCell ref="D57:E57"/>
    <mergeCell ref="F57:G57"/>
    <mergeCell ref="B110:C110"/>
    <mergeCell ref="D110:E110"/>
    <mergeCell ref="H29:I29"/>
    <mergeCell ref="J29:K29"/>
    <mergeCell ref="L29:M29"/>
    <mergeCell ref="B31:M31"/>
    <mergeCell ref="B32:C32"/>
    <mergeCell ref="D32:E32"/>
    <mergeCell ref="F32:G32"/>
    <mergeCell ref="H32:I32"/>
    <mergeCell ref="J32:K32"/>
    <mergeCell ref="L32:M32"/>
    <mergeCell ref="B29:C29"/>
    <mergeCell ref="D29:E29"/>
    <mergeCell ref="F29:G29"/>
    <mergeCell ref="B1:M1"/>
    <mergeCell ref="B2:C2"/>
    <mergeCell ref="D2:E2"/>
    <mergeCell ref="F2:G2"/>
    <mergeCell ref="H2:I2"/>
    <mergeCell ref="J2:K2"/>
    <mergeCell ref="L2:M2"/>
  </mergeCells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S109"/>
  <sheetViews>
    <sheetView topLeftCell="A22" zoomScale="66" workbookViewId="0">
      <selection activeCell="R44" sqref="R44"/>
    </sheetView>
  </sheetViews>
  <sheetFormatPr baseColWidth="12" defaultRowHeight="20" x14ac:dyDescent="0.3"/>
  <cols>
    <col min="1" max="1" width="41.28515625" customWidth="1"/>
    <col min="16" max="16" width="34" customWidth="1"/>
  </cols>
  <sheetData>
    <row r="1" spans="1:19" ht="22" thickTop="1" thickBot="1" x14ac:dyDescent="0.35">
      <c r="A1" s="6" t="s">
        <v>3</v>
      </c>
      <c r="B1" s="123" t="s">
        <v>13</v>
      </c>
      <c r="C1" s="124"/>
      <c r="D1" s="124"/>
      <c r="E1" s="124"/>
      <c r="F1" s="124"/>
      <c r="G1" s="124"/>
      <c r="H1" s="130"/>
      <c r="I1" s="130"/>
      <c r="J1" s="130"/>
      <c r="K1" s="130"/>
      <c r="L1" s="130"/>
      <c r="M1" s="131"/>
      <c r="O1" s="1" t="s">
        <v>169</v>
      </c>
      <c r="P1" s="1" t="s">
        <v>168</v>
      </c>
      <c r="Q1" s="1" t="s">
        <v>170</v>
      </c>
      <c r="R1" s="1" t="s">
        <v>171</v>
      </c>
      <c r="S1" s="1" t="s">
        <v>182</v>
      </c>
    </row>
    <row r="2" spans="1:19" ht="21" thickBot="1" x14ac:dyDescent="0.35">
      <c r="A2" s="87" t="s">
        <v>5</v>
      </c>
      <c r="B2" s="126" t="s">
        <v>112</v>
      </c>
      <c r="C2" s="127"/>
      <c r="D2" s="126" t="s">
        <v>114</v>
      </c>
      <c r="E2" s="127"/>
      <c r="F2" s="126" t="s">
        <v>119</v>
      </c>
      <c r="G2" s="127"/>
      <c r="H2" s="126" t="s">
        <v>115</v>
      </c>
      <c r="I2" s="127"/>
      <c r="J2" s="126" t="s">
        <v>116</v>
      </c>
      <c r="K2" s="127"/>
      <c r="L2" s="126" t="s">
        <v>117</v>
      </c>
      <c r="M2" s="127"/>
      <c r="O2" s="1">
        <v>1</v>
      </c>
      <c r="P2" s="1" t="s">
        <v>184</v>
      </c>
      <c r="Q2" s="1">
        <v>12</v>
      </c>
      <c r="R2" s="1"/>
    </row>
    <row r="3" spans="1:19" ht="21" thickTop="1" x14ac:dyDescent="0.3">
      <c r="A3" s="33" t="s">
        <v>130</v>
      </c>
      <c r="B3" s="8">
        <v>1</v>
      </c>
      <c r="C3" s="15">
        <v>0</v>
      </c>
      <c r="D3" s="17">
        <v>0</v>
      </c>
      <c r="E3" s="15">
        <v>0</v>
      </c>
      <c r="F3" s="89">
        <v>0</v>
      </c>
      <c r="G3" s="90">
        <v>0</v>
      </c>
      <c r="H3" s="91">
        <v>0</v>
      </c>
      <c r="I3" s="91">
        <v>0</v>
      </c>
      <c r="J3" s="89">
        <v>0</v>
      </c>
      <c r="K3" s="89">
        <v>0</v>
      </c>
      <c r="L3" s="91">
        <v>0</v>
      </c>
      <c r="M3" s="92">
        <v>0</v>
      </c>
      <c r="O3" s="1">
        <v>1</v>
      </c>
      <c r="P3" s="1" t="s">
        <v>185</v>
      </c>
      <c r="Q3" s="1">
        <v>12</v>
      </c>
      <c r="R3" s="1"/>
    </row>
    <row r="4" spans="1:19" x14ac:dyDescent="0.3">
      <c r="A4" s="33" t="s">
        <v>118</v>
      </c>
      <c r="B4" s="34">
        <v>1</v>
      </c>
      <c r="C4" s="25">
        <v>0</v>
      </c>
      <c r="D4" s="36">
        <v>0</v>
      </c>
      <c r="E4" s="25">
        <v>0</v>
      </c>
      <c r="F4" s="43">
        <v>0</v>
      </c>
      <c r="G4" s="90">
        <v>1</v>
      </c>
      <c r="H4" s="44">
        <v>0</v>
      </c>
      <c r="I4" s="45">
        <v>0</v>
      </c>
      <c r="J4" s="43">
        <v>0</v>
      </c>
      <c r="K4" s="43">
        <v>0</v>
      </c>
      <c r="L4" s="93">
        <v>0</v>
      </c>
      <c r="M4" s="92">
        <v>0</v>
      </c>
      <c r="O4" s="1">
        <v>1</v>
      </c>
      <c r="P4" s="1" t="s">
        <v>186</v>
      </c>
      <c r="Q4" s="1">
        <v>12</v>
      </c>
      <c r="R4" s="1"/>
    </row>
    <row r="5" spans="1:19" x14ac:dyDescent="0.3">
      <c r="A5" s="33" t="s">
        <v>120</v>
      </c>
      <c r="B5" s="12">
        <v>1</v>
      </c>
      <c r="C5" s="25">
        <v>0</v>
      </c>
      <c r="D5" s="26">
        <v>0</v>
      </c>
      <c r="E5" s="25">
        <v>1</v>
      </c>
      <c r="F5" s="47">
        <v>0</v>
      </c>
      <c r="G5" s="90">
        <v>1</v>
      </c>
      <c r="H5" s="48">
        <v>0</v>
      </c>
      <c r="I5" s="49">
        <v>0</v>
      </c>
      <c r="J5" s="43">
        <v>0</v>
      </c>
      <c r="K5" s="90">
        <v>1</v>
      </c>
      <c r="L5" s="93">
        <v>0</v>
      </c>
      <c r="M5" s="92">
        <v>0</v>
      </c>
      <c r="O5" s="1">
        <v>1</v>
      </c>
      <c r="P5" s="1" t="s">
        <v>187</v>
      </c>
      <c r="Q5" s="1">
        <v>12</v>
      </c>
      <c r="R5" s="1"/>
    </row>
    <row r="6" spans="1:19" x14ac:dyDescent="0.3">
      <c r="A6" s="33" t="s">
        <v>121</v>
      </c>
      <c r="B6" s="12">
        <v>1</v>
      </c>
      <c r="C6" s="25">
        <v>0</v>
      </c>
      <c r="D6" s="26">
        <v>0</v>
      </c>
      <c r="E6" s="25">
        <v>0</v>
      </c>
      <c r="F6" s="47">
        <v>0</v>
      </c>
      <c r="G6" s="90">
        <v>0</v>
      </c>
      <c r="H6" s="48">
        <v>0</v>
      </c>
      <c r="I6" s="49">
        <v>0</v>
      </c>
      <c r="J6" s="43">
        <v>0</v>
      </c>
      <c r="K6" s="90">
        <v>0</v>
      </c>
      <c r="L6" s="93">
        <v>0</v>
      </c>
      <c r="M6" s="92">
        <v>0</v>
      </c>
      <c r="O6" s="1">
        <v>5</v>
      </c>
      <c r="P6" s="1" t="s">
        <v>188</v>
      </c>
      <c r="Q6" s="1">
        <v>8</v>
      </c>
      <c r="R6" s="1"/>
    </row>
    <row r="7" spans="1:19" x14ac:dyDescent="0.3">
      <c r="A7" s="33" t="s">
        <v>122</v>
      </c>
      <c r="B7" s="18">
        <v>1</v>
      </c>
      <c r="C7" s="25">
        <v>0</v>
      </c>
      <c r="D7" s="26">
        <v>0</v>
      </c>
      <c r="E7" s="25">
        <v>0</v>
      </c>
      <c r="F7" s="47">
        <v>0</v>
      </c>
      <c r="G7" s="90">
        <v>0</v>
      </c>
      <c r="H7" s="48">
        <v>0</v>
      </c>
      <c r="I7" s="49">
        <v>0</v>
      </c>
      <c r="J7" s="43">
        <v>0</v>
      </c>
      <c r="K7" s="90">
        <v>0</v>
      </c>
      <c r="L7" s="93">
        <v>0</v>
      </c>
      <c r="M7" s="92">
        <v>0</v>
      </c>
      <c r="O7" s="1">
        <v>5</v>
      </c>
      <c r="P7" s="1" t="s">
        <v>189</v>
      </c>
      <c r="Q7" s="1">
        <v>8</v>
      </c>
      <c r="R7" s="1"/>
    </row>
    <row r="8" spans="1:19" x14ac:dyDescent="0.3">
      <c r="A8" s="33" t="s">
        <v>123</v>
      </c>
      <c r="B8" s="94">
        <v>1</v>
      </c>
      <c r="C8" s="25">
        <v>0</v>
      </c>
      <c r="D8" s="26">
        <v>0</v>
      </c>
      <c r="E8" s="25">
        <v>1</v>
      </c>
      <c r="F8" s="47">
        <v>0</v>
      </c>
      <c r="G8" s="90">
        <v>0</v>
      </c>
      <c r="H8" s="48">
        <v>0</v>
      </c>
      <c r="I8" s="49">
        <v>0</v>
      </c>
      <c r="J8" s="43">
        <v>0</v>
      </c>
      <c r="K8" s="90">
        <v>0</v>
      </c>
      <c r="L8" s="93">
        <v>0</v>
      </c>
      <c r="M8" s="92">
        <v>0</v>
      </c>
      <c r="O8" s="1">
        <v>5</v>
      </c>
      <c r="P8" s="1" t="s">
        <v>190</v>
      </c>
      <c r="Q8" s="1">
        <v>8</v>
      </c>
      <c r="R8" s="1"/>
    </row>
    <row r="9" spans="1:19" x14ac:dyDescent="0.3">
      <c r="A9" s="33" t="s">
        <v>124</v>
      </c>
      <c r="B9" s="34">
        <v>1</v>
      </c>
      <c r="C9" s="34">
        <v>0</v>
      </c>
      <c r="D9" s="36">
        <v>0</v>
      </c>
      <c r="E9" s="25">
        <v>0</v>
      </c>
      <c r="F9" s="36">
        <v>0</v>
      </c>
      <c r="G9" s="25">
        <v>1</v>
      </c>
      <c r="H9" s="36">
        <v>0</v>
      </c>
      <c r="I9" s="25">
        <v>0</v>
      </c>
      <c r="J9" s="36">
        <v>0</v>
      </c>
      <c r="K9" s="25">
        <v>0</v>
      </c>
      <c r="L9" s="36">
        <v>0</v>
      </c>
      <c r="M9" s="25">
        <v>0</v>
      </c>
      <c r="O9" s="1">
        <v>8</v>
      </c>
      <c r="P9" s="1" t="s">
        <v>191</v>
      </c>
      <c r="Q9" s="1">
        <v>6</v>
      </c>
      <c r="R9" s="1"/>
    </row>
    <row r="10" spans="1:19" x14ac:dyDescent="0.3">
      <c r="A10" s="33" t="s">
        <v>131</v>
      </c>
      <c r="B10" s="34">
        <v>0</v>
      </c>
      <c r="C10" s="34">
        <v>0</v>
      </c>
      <c r="D10" s="26">
        <v>0</v>
      </c>
      <c r="E10" s="25">
        <v>0</v>
      </c>
      <c r="F10" s="26">
        <v>1</v>
      </c>
      <c r="G10" s="25">
        <v>0</v>
      </c>
      <c r="H10" s="26">
        <v>0</v>
      </c>
      <c r="I10" s="25">
        <v>0</v>
      </c>
      <c r="J10" s="26">
        <v>0</v>
      </c>
      <c r="K10" s="25">
        <v>0</v>
      </c>
      <c r="L10" s="26">
        <v>0</v>
      </c>
      <c r="M10" s="25">
        <v>0</v>
      </c>
      <c r="O10" s="1">
        <v>9</v>
      </c>
      <c r="P10" s="1" t="s">
        <v>192</v>
      </c>
      <c r="Q10" s="1">
        <v>4</v>
      </c>
      <c r="R10" s="1"/>
    </row>
    <row r="11" spans="1:19" x14ac:dyDescent="0.3">
      <c r="A11" s="33" t="s">
        <v>120</v>
      </c>
      <c r="B11" s="12">
        <v>0</v>
      </c>
      <c r="C11" s="12">
        <v>1</v>
      </c>
      <c r="D11" s="26">
        <v>0</v>
      </c>
      <c r="E11" s="25">
        <v>1</v>
      </c>
      <c r="F11" s="26">
        <v>1</v>
      </c>
      <c r="G11" s="25">
        <v>0</v>
      </c>
      <c r="H11" s="26">
        <v>0</v>
      </c>
      <c r="I11" s="25">
        <v>1</v>
      </c>
      <c r="J11" s="26">
        <v>0</v>
      </c>
      <c r="K11" s="25">
        <v>1</v>
      </c>
      <c r="L11" s="26">
        <v>0</v>
      </c>
      <c r="M11" s="25">
        <v>0</v>
      </c>
      <c r="O11" s="1">
        <v>9</v>
      </c>
      <c r="P11" s="1" t="s">
        <v>193</v>
      </c>
      <c r="Q11" s="1">
        <v>4</v>
      </c>
      <c r="R11" s="1"/>
    </row>
    <row r="12" spans="1:19" x14ac:dyDescent="0.3">
      <c r="A12" s="33" t="s">
        <v>125</v>
      </c>
      <c r="B12" s="12">
        <v>0</v>
      </c>
      <c r="C12" s="34">
        <v>0</v>
      </c>
      <c r="D12" s="26">
        <v>0</v>
      </c>
      <c r="E12" s="25">
        <v>0</v>
      </c>
      <c r="F12" s="26">
        <v>1</v>
      </c>
      <c r="G12" s="25">
        <v>0</v>
      </c>
      <c r="H12" s="26">
        <v>0</v>
      </c>
      <c r="I12" s="25">
        <v>0</v>
      </c>
      <c r="J12" s="26">
        <v>0</v>
      </c>
      <c r="K12" s="25">
        <v>0</v>
      </c>
      <c r="L12" s="26">
        <v>0</v>
      </c>
      <c r="M12" s="25">
        <v>0</v>
      </c>
    </row>
    <row r="13" spans="1:19" x14ac:dyDescent="0.3">
      <c r="A13" s="33" t="s">
        <v>126</v>
      </c>
      <c r="B13" s="12">
        <v>0</v>
      </c>
      <c r="C13" s="34">
        <v>0</v>
      </c>
      <c r="D13" s="26">
        <v>0</v>
      </c>
      <c r="E13" s="25">
        <v>0</v>
      </c>
      <c r="F13" s="26">
        <v>0</v>
      </c>
      <c r="G13" s="25">
        <v>0</v>
      </c>
      <c r="H13" s="26">
        <v>1</v>
      </c>
      <c r="I13" s="25">
        <v>0</v>
      </c>
      <c r="J13" s="26">
        <v>0</v>
      </c>
      <c r="K13" s="25">
        <v>1</v>
      </c>
      <c r="L13" s="26">
        <v>0</v>
      </c>
      <c r="M13" s="25">
        <v>0</v>
      </c>
    </row>
    <row r="14" spans="1:19" x14ac:dyDescent="0.3">
      <c r="A14" s="33" t="s">
        <v>127</v>
      </c>
      <c r="B14" s="12">
        <v>0</v>
      </c>
      <c r="C14" s="12">
        <v>0</v>
      </c>
      <c r="D14" s="26">
        <v>0</v>
      </c>
      <c r="E14" s="25">
        <v>0</v>
      </c>
      <c r="F14" s="26">
        <v>1</v>
      </c>
      <c r="G14" s="25">
        <v>0</v>
      </c>
      <c r="H14" s="48">
        <v>0</v>
      </c>
      <c r="I14" s="49">
        <v>0</v>
      </c>
      <c r="J14" s="43">
        <v>0</v>
      </c>
      <c r="K14" s="90">
        <v>0</v>
      </c>
      <c r="L14" s="93">
        <v>0</v>
      </c>
      <c r="M14" s="92">
        <v>0</v>
      </c>
    </row>
    <row r="15" spans="1:19" x14ac:dyDescent="0.3">
      <c r="A15" s="33" t="s">
        <v>128</v>
      </c>
      <c r="B15" s="34">
        <v>0</v>
      </c>
      <c r="C15" s="34">
        <v>0</v>
      </c>
      <c r="D15" s="36">
        <v>0</v>
      </c>
      <c r="E15" s="25">
        <v>0</v>
      </c>
      <c r="F15" s="26">
        <v>1</v>
      </c>
      <c r="G15" s="25">
        <v>0</v>
      </c>
      <c r="H15" s="36">
        <v>0</v>
      </c>
      <c r="I15" s="25">
        <v>0</v>
      </c>
      <c r="J15" s="36">
        <v>0</v>
      </c>
      <c r="K15" s="25">
        <v>1</v>
      </c>
      <c r="L15" s="36">
        <v>0</v>
      </c>
      <c r="M15" s="25">
        <v>0</v>
      </c>
    </row>
    <row r="16" spans="1:19" x14ac:dyDescent="0.3">
      <c r="A16" s="33" t="s">
        <v>129</v>
      </c>
      <c r="B16" s="34">
        <v>0</v>
      </c>
      <c r="C16" s="34">
        <v>0</v>
      </c>
      <c r="D16" s="26">
        <v>0</v>
      </c>
      <c r="E16" s="25">
        <v>0</v>
      </c>
      <c r="F16" s="26">
        <v>1</v>
      </c>
      <c r="G16" s="25">
        <v>0</v>
      </c>
      <c r="H16" s="26">
        <v>0</v>
      </c>
      <c r="I16" s="25">
        <v>0</v>
      </c>
      <c r="J16" s="26">
        <v>0</v>
      </c>
      <c r="K16" s="25">
        <v>0</v>
      </c>
      <c r="L16" s="26">
        <v>0</v>
      </c>
      <c r="M16" s="25">
        <v>0</v>
      </c>
    </row>
    <row r="17" spans="1:13" x14ac:dyDescent="0.3">
      <c r="A17" s="33" t="s">
        <v>132</v>
      </c>
      <c r="B17" s="34">
        <v>0</v>
      </c>
      <c r="C17" s="12">
        <v>0</v>
      </c>
      <c r="D17" s="26">
        <v>0</v>
      </c>
      <c r="E17" s="25">
        <v>0</v>
      </c>
      <c r="F17" s="26">
        <v>1</v>
      </c>
      <c r="G17" s="25">
        <v>0</v>
      </c>
      <c r="H17" s="26">
        <v>0</v>
      </c>
      <c r="I17" s="25">
        <v>0</v>
      </c>
      <c r="J17" s="26">
        <v>0</v>
      </c>
      <c r="K17" s="25">
        <v>0</v>
      </c>
      <c r="L17" s="26">
        <v>0</v>
      </c>
      <c r="M17" s="25">
        <v>0</v>
      </c>
    </row>
    <row r="18" spans="1:13" x14ac:dyDescent="0.3">
      <c r="A18" s="33" t="s">
        <v>133</v>
      </c>
      <c r="B18" s="34">
        <v>0</v>
      </c>
      <c r="C18" s="34">
        <v>0</v>
      </c>
      <c r="D18" s="26">
        <v>0</v>
      </c>
      <c r="E18" s="25">
        <v>0</v>
      </c>
      <c r="F18" s="26">
        <v>1</v>
      </c>
      <c r="G18" s="25">
        <v>0</v>
      </c>
      <c r="H18" s="26">
        <v>0</v>
      </c>
      <c r="I18" s="25">
        <v>0</v>
      </c>
      <c r="J18" s="26">
        <v>0</v>
      </c>
      <c r="K18" s="25">
        <v>0</v>
      </c>
      <c r="L18" s="26">
        <v>0</v>
      </c>
      <c r="M18" s="25">
        <v>0</v>
      </c>
    </row>
    <row r="19" spans="1:13" x14ac:dyDescent="0.3">
      <c r="A19" s="33" t="s">
        <v>134</v>
      </c>
      <c r="B19" s="12">
        <v>0</v>
      </c>
      <c r="C19" s="12">
        <v>0</v>
      </c>
      <c r="D19" s="26">
        <v>0</v>
      </c>
      <c r="E19" s="25">
        <v>0</v>
      </c>
      <c r="F19" s="26">
        <v>1</v>
      </c>
      <c r="G19" s="25">
        <v>0</v>
      </c>
      <c r="H19" s="26">
        <v>0</v>
      </c>
      <c r="I19" s="25">
        <v>0</v>
      </c>
      <c r="J19" s="26">
        <v>0</v>
      </c>
      <c r="K19" s="25">
        <v>0</v>
      </c>
      <c r="L19" s="26">
        <v>0</v>
      </c>
      <c r="M19" s="25">
        <v>0</v>
      </c>
    </row>
    <row r="20" spans="1:13" x14ac:dyDescent="0.3">
      <c r="A20" s="33" t="s">
        <v>135</v>
      </c>
      <c r="B20" s="12">
        <v>0</v>
      </c>
      <c r="C20" s="25">
        <v>0</v>
      </c>
      <c r="D20" s="26">
        <v>0</v>
      </c>
      <c r="E20" s="25">
        <v>0</v>
      </c>
      <c r="F20" s="47">
        <v>1</v>
      </c>
      <c r="G20" s="90">
        <v>0</v>
      </c>
      <c r="H20" s="48">
        <v>0</v>
      </c>
      <c r="I20" s="49">
        <v>0</v>
      </c>
      <c r="J20" s="43">
        <v>0</v>
      </c>
      <c r="K20" s="90">
        <v>1</v>
      </c>
      <c r="L20" s="93">
        <v>0</v>
      </c>
      <c r="M20" s="92">
        <v>0</v>
      </c>
    </row>
    <row r="21" spans="1:13" x14ac:dyDescent="0.3">
      <c r="A21" s="33" t="s">
        <v>136</v>
      </c>
      <c r="B21" s="92">
        <v>0</v>
      </c>
      <c r="C21" s="92">
        <v>0</v>
      </c>
      <c r="D21" s="92">
        <v>0</v>
      </c>
      <c r="E21" s="92">
        <v>0</v>
      </c>
      <c r="F21" s="92">
        <v>1</v>
      </c>
      <c r="G21" s="92">
        <v>0</v>
      </c>
      <c r="H21" s="92">
        <v>0</v>
      </c>
      <c r="I21" s="92">
        <v>0</v>
      </c>
      <c r="J21" s="92">
        <v>0</v>
      </c>
      <c r="K21" s="92">
        <v>0</v>
      </c>
      <c r="L21" s="92">
        <v>0</v>
      </c>
      <c r="M21" s="92">
        <v>0</v>
      </c>
    </row>
    <row r="22" spans="1:13" x14ac:dyDescent="0.3">
      <c r="A22" s="33" t="s">
        <v>137</v>
      </c>
      <c r="B22" s="12">
        <v>1</v>
      </c>
      <c r="C22" s="25">
        <v>0</v>
      </c>
      <c r="D22" s="26">
        <v>0</v>
      </c>
      <c r="E22" s="25">
        <v>1</v>
      </c>
      <c r="F22" s="47">
        <v>0</v>
      </c>
      <c r="G22" s="90">
        <v>1</v>
      </c>
      <c r="H22" s="48">
        <v>0</v>
      </c>
      <c r="I22" s="49">
        <v>0</v>
      </c>
      <c r="J22" s="43">
        <v>0</v>
      </c>
      <c r="K22" s="90">
        <v>0</v>
      </c>
      <c r="L22" s="93">
        <v>0</v>
      </c>
      <c r="M22" s="92">
        <v>0</v>
      </c>
    </row>
    <row r="23" spans="1:13" x14ac:dyDescent="0.3">
      <c r="A23" s="33" t="s">
        <v>138</v>
      </c>
      <c r="B23" s="92">
        <v>0</v>
      </c>
      <c r="C23" s="92">
        <v>1</v>
      </c>
      <c r="D23" s="92">
        <v>0</v>
      </c>
      <c r="E23" s="92">
        <v>1</v>
      </c>
      <c r="F23" s="92">
        <v>1</v>
      </c>
      <c r="G23" s="92">
        <v>0</v>
      </c>
      <c r="H23" s="92">
        <v>0</v>
      </c>
      <c r="I23" s="92">
        <v>0</v>
      </c>
      <c r="J23" s="92">
        <v>0</v>
      </c>
      <c r="K23" s="92">
        <v>0</v>
      </c>
      <c r="L23" s="92">
        <v>0</v>
      </c>
      <c r="M23" s="92">
        <v>0</v>
      </c>
    </row>
    <row r="24" spans="1:13" x14ac:dyDescent="0.3">
      <c r="A24" s="33" t="s">
        <v>139</v>
      </c>
      <c r="B24" s="12">
        <v>0</v>
      </c>
      <c r="C24" s="25">
        <v>0</v>
      </c>
      <c r="D24" s="26">
        <v>0</v>
      </c>
      <c r="E24" s="25">
        <v>0</v>
      </c>
      <c r="F24" s="47">
        <v>1</v>
      </c>
      <c r="G24" s="90">
        <v>0</v>
      </c>
      <c r="H24" s="48">
        <v>0</v>
      </c>
      <c r="I24" s="49">
        <v>0</v>
      </c>
      <c r="J24" s="43">
        <v>0</v>
      </c>
      <c r="K24" s="90">
        <v>1</v>
      </c>
      <c r="L24" s="93">
        <v>0</v>
      </c>
      <c r="M24" s="92">
        <v>0</v>
      </c>
    </row>
    <row r="25" spans="1:13" x14ac:dyDescent="0.3">
      <c r="A25" s="33" t="s">
        <v>140</v>
      </c>
      <c r="B25" s="92">
        <v>0</v>
      </c>
      <c r="C25" s="92">
        <v>1</v>
      </c>
      <c r="D25" s="92">
        <v>1</v>
      </c>
      <c r="E25" s="92">
        <v>0</v>
      </c>
      <c r="F25" s="92">
        <v>0</v>
      </c>
      <c r="G25" s="92">
        <v>1</v>
      </c>
      <c r="H25" s="92">
        <v>0</v>
      </c>
      <c r="I25" s="92">
        <v>0</v>
      </c>
      <c r="J25" s="92">
        <v>0</v>
      </c>
      <c r="K25" s="92">
        <v>1</v>
      </c>
      <c r="L25" s="92">
        <v>0</v>
      </c>
      <c r="M25" s="92">
        <v>1</v>
      </c>
    </row>
    <row r="26" spans="1:13" x14ac:dyDescent="0.3">
      <c r="A26" s="33" t="s">
        <v>141</v>
      </c>
      <c r="B26" s="12">
        <v>0</v>
      </c>
      <c r="C26" s="25">
        <v>0</v>
      </c>
      <c r="D26" s="26">
        <v>0</v>
      </c>
      <c r="E26" s="25">
        <v>0</v>
      </c>
      <c r="F26" s="47">
        <v>0</v>
      </c>
      <c r="G26" s="90">
        <v>1</v>
      </c>
      <c r="H26" s="48">
        <v>1</v>
      </c>
      <c r="I26" s="49">
        <v>0</v>
      </c>
      <c r="J26" s="43">
        <v>0</v>
      </c>
      <c r="K26" s="90">
        <v>0</v>
      </c>
      <c r="L26" s="93">
        <v>0</v>
      </c>
      <c r="M26" s="92">
        <v>0</v>
      </c>
    </row>
    <row r="27" spans="1:13" ht="21" thickBot="1" x14ac:dyDescent="0.35">
      <c r="A27" s="33" t="s">
        <v>142</v>
      </c>
      <c r="B27" s="24">
        <v>0</v>
      </c>
      <c r="C27" s="25">
        <v>1</v>
      </c>
      <c r="D27" s="26">
        <v>1</v>
      </c>
      <c r="E27" s="25">
        <v>0</v>
      </c>
      <c r="F27" s="90">
        <v>0</v>
      </c>
      <c r="G27" s="90">
        <v>1</v>
      </c>
      <c r="H27" s="48">
        <v>0</v>
      </c>
      <c r="I27" s="49">
        <v>1</v>
      </c>
      <c r="J27" s="43">
        <v>0</v>
      </c>
      <c r="K27" s="90">
        <v>0</v>
      </c>
      <c r="L27" s="93">
        <v>0</v>
      </c>
      <c r="M27" s="92">
        <v>0</v>
      </c>
    </row>
    <row r="28" spans="1:13" ht="22" thickTop="1" thickBot="1" x14ac:dyDescent="0.35">
      <c r="A28" s="31" t="s">
        <v>33</v>
      </c>
      <c r="B28" s="32">
        <f>SUM(B3:B27)</f>
        <v>8</v>
      </c>
      <c r="C28" s="32">
        <f t="shared" ref="C28:M28" si="0">SUM(C3:C27)</f>
        <v>4</v>
      </c>
      <c r="D28" s="32">
        <f t="shared" si="0"/>
        <v>2</v>
      </c>
      <c r="E28" s="32">
        <f t="shared" si="0"/>
        <v>5</v>
      </c>
      <c r="F28" s="32">
        <f t="shared" si="0"/>
        <v>13</v>
      </c>
      <c r="G28" s="32">
        <f t="shared" si="0"/>
        <v>7</v>
      </c>
      <c r="H28" s="32">
        <f t="shared" si="0"/>
        <v>2</v>
      </c>
      <c r="I28" s="32">
        <f t="shared" si="0"/>
        <v>2</v>
      </c>
      <c r="J28" s="32">
        <f t="shared" si="0"/>
        <v>0</v>
      </c>
      <c r="K28" s="32">
        <f t="shared" si="0"/>
        <v>7</v>
      </c>
      <c r="L28" s="32">
        <f t="shared" si="0"/>
        <v>0</v>
      </c>
      <c r="M28" s="32">
        <f t="shared" si="0"/>
        <v>1</v>
      </c>
    </row>
    <row r="29" spans="1:13" ht="21" thickTop="1" x14ac:dyDescent="0.3">
      <c r="A29" s="88"/>
      <c r="B29" s="88" t="s">
        <v>35</v>
      </c>
      <c r="C29" s="88" t="s">
        <v>37</v>
      </c>
      <c r="D29" s="88" t="s">
        <v>35</v>
      </c>
      <c r="E29" s="88" t="s">
        <v>37</v>
      </c>
      <c r="F29" s="88" t="s">
        <v>35</v>
      </c>
      <c r="G29" s="88" t="s">
        <v>37</v>
      </c>
      <c r="H29" s="88" t="s">
        <v>35</v>
      </c>
      <c r="I29" s="88" t="s">
        <v>37</v>
      </c>
      <c r="J29" s="88" t="s">
        <v>35</v>
      </c>
      <c r="K29" s="88" t="s">
        <v>37</v>
      </c>
      <c r="L29" s="88" t="s">
        <v>35</v>
      </c>
      <c r="M29" s="88" t="s">
        <v>37</v>
      </c>
    </row>
    <row r="30" spans="1:13" x14ac:dyDescent="0.3">
      <c r="A30" s="41" t="s">
        <v>42</v>
      </c>
      <c r="B30" s="42">
        <f>AVERAGE(B3:B27)</f>
        <v>0.32</v>
      </c>
      <c r="C30" s="42">
        <f t="shared" ref="C30:M30" si="1">AVERAGE(C3:C27)</f>
        <v>0.16</v>
      </c>
      <c r="D30" s="42">
        <f t="shared" si="1"/>
        <v>0.08</v>
      </c>
      <c r="E30" s="42">
        <f t="shared" si="1"/>
        <v>0.2</v>
      </c>
      <c r="F30" s="42">
        <f t="shared" si="1"/>
        <v>0.52</v>
      </c>
      <c r="G30" s="42">
        <f t="shared" si="1"/>
        <v>0.28000000000000003</v>
      </c>
      <c r="H30" s="42">
        <f t="shared" si="1"/>
        <v>0.08</v>
      </c>
      <c r="I30" s="42">
        <f t="shared" si="1"/>
        <v>0.08</v>
      </c>
      <c r="J30" s="42">
        <f t="shared" si="1"/>
        <v>0</v>
      </c>
      <c r="K30" s="42">
        <f t="shared" si="1"/>
        <v>0.28000000000000003</v>
      </c>
      <c r="L30" s="42">
        <f t="shared" si="1"/>
        <v>0</v>
      </c>
      <c r="M30" s="42">
        <f t="shared" si="1"/>
        <v>0.04</v>
      </c>
    </row>
    <row r="31" spans="1:13" x14ac:dyDescent="0.3">
      <c r="A31" s="1" t="s">
        <v>44</v>
      </c>
      <c r="B31" s="121">
        <f>SUM(B30,C30)</f>
        <v>0.48</v>
      </c>
      <c r="C31" s="122"/>
      <c r="D31" s="121">
        <f t="shared" ref="D31" si="2">SUM(D30,E30)</f>
        <v>0.28000000000000003</v>
      </c>
      <c r="E31" s="122"/>
      <c r="F31" s="121">
        <f t="shared" ref="F31" si="3">SUM(F30,G30)</f>
        <v>0.8</v>
      </c>
      <c r="G31" s="122"/>
      <c r="H31" s="121">
        <f t="shared" ref="H31" si="4">SUM(H30,I30)</f>
        <v>0.16</v>
      </c>
      <c r="I31" s="122"/>
      <c r="J31" s="121">
        <f t="shared" ref="J31" si="5">SUM(J30,K30)</f>
        <v>0.28000000000000003</v>
      </c>
      <c r="K31" s="122"/>
      <c r="L31" s="121">
        <f t="shared" ref="L31" si="6">SUM(L30,M30)</f>
        <v>0.04</v>
      </c>
      <c r="M31" s="122"/>
    </row>
    <row r="32" spans="1:13" ht="21" thickBot="1" x14ac:dyDescent="0.35"/>
    <row r="33" spans="1:18" ht="22" thickTop="1" thickBot="1" x14ac:dyDescent="0.35">
      <c r="A33" s="6" t="s">
        <v>61</v>
      </c>
      <c r="B33" s="123" t="s">
        <v>13</v>
      </c>
      <c r="C33" s="124"/>
      <c r="D33" s="124"/>
      <c r="E33" s="124"/>
      <c r="F33" s="124"/>
      <c r="G33" s="124"/>
      <c r="H33" s="124"/>
      <c r="I33" s="124"/>
      <c r="J33" s="124"/>
      <c r="K33" s="124"/>
      <c r="L33" s="124"/>
      <c r="M33" s="125"/>
      <c r="O33" s="1" t="s">
        <v>169</v>
      </c>
      <c r="P33" s="1" t="s">
        <v>168</v>
      </c>
      <c r="Q33" s="1" t="s">
        <v>170</v>
      </c>
      <c r="R33" s="1" t="s">
        <v>171</v>
      </c>
    </row>
    <row r="34" spans="1:18" ht="21" thickBot="1" x14ac:dyDescent="0.35">
      <c r="A34" s="87" t="s">
        <v>5</v>
      </c>
      <c r="B34" s="128" t="s">
        <v>112</v>
      </c>
      <c r="C34" s="128"/>
      <c r="D34" s="128" t="s">
        <v>114</v>
      </c>
      <c r="E34" s="128"/>
      <c r="F34" s="128" t="s">
        <v>119</v>
      </c>
      <c r="G34" s="128"/>
      <c r="H34" s="128" t="s">
        <v>115</v>
      </c>
      <c r="I34" s="128"/>
      <c r="J34" s="128" t="s">
        <v>116</v>
      </c>
      <c r="K34" s="128"/>
      <c r="L34" s="128" t="s">
        <v>117</v>
      </c>
      <c r="M34" s="128"/>
      <c r="O34" s="1">
        <v>1</v>
      </c>
      <c r="P34" s="1" t="s">
        <v>173</v>
      </c>
      <c r="Q34" s="1">
        <v>14</v>
      </c>
      <c r="R34" s="1" t="s">
        <v>195</v>
      </c>
    </row>
    <row r="35" spans="1:18" ht="21" thickTop="1" x14ac:dyDescent="0.3">
      <c r="A35" s="95" t="s">
        <v>143</v>
      </c>
      <c r="B35" s="8">
        <v>0</v>
      </c>
      <c r="C35" s="8">
        <v>0</v>
      </c>
      <c r="D35" s="18">
        <v>1</v>
      </c>
      <c r="E35" s="8">
        <v>0</v>
      </c>
      <c r="F35" s="1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O35" s="1">
        <v>2</v>
      </c>
      <c r="P35" s="1" t="s">
        <v>174</v>
      </c>
      <c r="Q35" s="1">
        <v>12</v>
      </c>
      <c r="R35" s="1" t="s">
        <v>112</v>
      </c>
    </row>
    <row r="36" spans="1:18" x14ac:dyDescent="0.3">
      <c r="A36" s="33" t="s">
        <v>46</v>
      </c>
      <c r="B36" s="12">
        <v>0</v>
      </c>
      <c r="C36" s="35">
        <v>0</v>
      </c>
      <c r="D36" s="18">
        <v>0</v>
      </c>
      <c r="E36" s="35">
        <v>1</v>
      </c>
      <c r="F36" s="18">
        <v>1</v>
      </c>
      <c r="G36" s="18">
        <v>0</v>
      </c>
      <c r="H36" s="44">
        <v>0</v>
      </c>
      <c r="I36" s="45">
        <v>0</v>
      </c>
      <c r="J36" s="43">
        <v>0</v>
      </c>
      <c r="K36" s="43">
        <v>0</v>
      </c>
      <c r="L36" s="44">
        <v>0</v>
      </c>
      <c r="M36" s="46">
        <v>0</v>
      </c>
      <c r="O36" s="1">
        <v>3</v>
      </c>
      <c r="P36" s="1" t="s">
        <v>175</v>
      </c>
      <c r="Q36" s="1">
        <v>10</v>
      </c>
      <c r="R36" s="1" t="s">
        <v>194</v>
      </c>
    </row>
    <row r="37" spans="1:18" x14ac:dyDescent="0.3">
      <c r="A37" s="33" t="s">
        <v>47</v>
      </c>
      <c r="B37" s="12">
        <v>0</v>
      </c>
      <c r="C37" s="16">
        <v>0</v>
      </c>
      <c r="D37" s="18">
        <v>0</v>
      </c>
      <c r="E37" s="16">
        <v>0</v>
      </c>
      <c r="F37" s="18">
        <v>1</v>
      </c>
      <c r="G37" s="18">
        <v>0</v>
      </c>
      <c r="H37" s="48">
        <v>0</v>
      </c>
      <c r="I37" s="18">
        <v>0</v>
      </c>
      <c r="J37" s="43">
        <v>0</v>
      </c>
      <c r="K37" s="18">
        <v>0</v>
      </c>
      <c r="L37" s="48">
        <v>0</v>
      </c>
      <c r="M37" s="50">
        <v>0</v>
      </c>
      <c r="O37" s="1">
        <v>4</v>
      </c>
      <c r="P37" s="1" t="s">
        <v>176</v>
      </c>
      <c r="Q37" s="1">
        <v>9</v>
      </c>
      <c r="R37" s="1" t="s">
        <v>114</v>
      </c>
    </row>
    <row r="38" spans="1:18" x14ac:dyDescent="0.3">
      <c r="A38" s="33" t="s">
        <v>144</v>
      </c>
      <c r="B38" s="36">
        <v>0</v>
      </c>
      <c r="C38" s="25">
        <v>0</v>
      </c>
      <c r="D38" s="36">
        <v>1</v>
      </c>
      <c r="E38" s="25">
        <v>0</v>
      </c>
      <c r="F38" s="36">
        <v>0</v>
      </c>
      <c r="G38" s="25">
        <v>0</v>
      </c>
      <c r="H38" s="36">
        <v>0</v>
      </c>
      <c r="I38" s="25">
        <v>0</v>
      </c>
      <c r="J38" s="36">
        <v>0</v>
      </c>
      <c r="K38" s="25">
        <v>0</v>
      </c>
      <c r="L38" s="36">
        <v>0</v>
      </c>
      <c r="M38" s="25">
        <v>0</v>
      </c>
      <c r="O38" s="1">
        <v>5</v>
      </c>
      <c r="P38" s="1" t="s">
        <v>177</v>
      </c>
      <c r="Q38" s="1">
        <v>8</v>
      </c>
      <c r="R38" s="1" t="s">
        <v>116</v>
      </c>
    </row>
    <row r="39" spans="1:18" x14ac:dyDescent="0.3">
      <c r="A39" s="33" t="s">
        <v>145</v>
      </c>
      <c r="B39" s="26">
        <v>0</v>
      </c>
      <c r="C39" s="25">
        <v>1</v>
      </c>
      <c r="D39" s="26">
        <v>0</v>
      </c>
      <c r="E39" s="25">
        <v>1</v>
      </c>
      <c r="F39" s="26">
        <v>1</v>
      </c>
      <c r="G39" s="25">
        <v>0</v>
      </c>
      <c r="H39" s="26">
        <v>0</v>
      </c>
      <c r="I39" s="25">
        <v>1</v>
      </c>
      <c r="J39" s="26">
        <v>0</v>
      </c>
      <c r="K39" s="25">
        <v>1</v>
      </c>
      <c r="L39" s="26">
        <v>0</v>
      </c>
      <c r="M39" s="25">
        <v>0</v>
      </c>
      <c r="O39" s="1">
        <v>6</v>
      </c>
      <c r="P39" s="1" t="s">
        <v>178</v>
      </c>
      <c r="Q39" s="1">
        <v>6</v>
      </c>
      <c r="R39" s="1" t="s">
        <v>113</v>
      </c>
    </row>
    <row r="40" spans="1:18" x14ac:dyDescent="0.3">
      <c r="A40" s="33" t="s">
        <v>146</v>
      </c>
      <c r="B40" s="26">
        <v>0</v>
      </c>
      <c r="C40" s="25">
        <v>0</v>
      </c>
      <c r="D40" s="26">
        <v>0</v>
      </c>
      <c r="E40" s="25">
        <v>1</v>
      </c>
      <c r="F40" s="26">
        <v>1</v>
      </c>
      <c r="G40" s="25">
        <v>0</v>
      </c>
      <c r="H40" s="26">
        <v>0</v>
      </c>
      <c r="I40" s="25">
        <v>0</v>
      </c>
      <c r="J40" s="26">
        <v>0</v>
      </c>
      <c r="K40" s="25">
        <v>0</v>
      </c>
      <c r="L40" s="26">
        <v>0</v>
      </c>
      <c r="M40" s="25">
        <v>0</v>
      </c>
      <c r="O40" s="1">
        <v>7</v>
      </c>
      <c r="P40" s="1" t="s">
        <v>179</v>
      </c>
      <c r="Q40" s="1">
        <v>6</v>
      </c>
      <c r="R40" s="1" t="s">
        <v>116</v>
      </c>
    </row>
    <row r="41" spans="1:18" x14ac:dyDescent="0.3">
      <c r="A41" s="33" t="s">
        <v>147</v>
      </c>
      <c r="B41" s="26">
        <v>0</v>
      </c>
      <c r="C41" s="25">
        <v>1</v>
      </c>
      <c r="D41" s="26">
        <v>0</v>
      </c>
      <c r="E41" s="25">
        <v>1</v>
      </c>
      <c r="F41" s="26">
        <v>1</v>
      </c>
      <c r="G41" s="25">
        <v>0</v>
      </c>
      <c r="H41" s="26">
        <v>0</v>
      </c>
      <c r="I41" s="25">
        <v>1</v>
      </c>
      <c r="J41" s="26">
        <v>0</v>
      </c>
      <c r="K41" s="25">
        <v>0</v>
      </c>
      <c r="L41" s="26">
        <v>0</v>
      </c>
      <c r="M41" s="25">
        <v>0</v>
      </c>
      <c r="O41" s="1">
        <v>8</v>
      </c>
      <c r="P41" s="1" t="s">
        <v>180</v>
      </c>
      <c r="Q41" s="1">
        <v>6</v>
      </c>
      <c r="R41" s="1" t="s">
        <v>195</v>
      </c>
    </row>
    <row r="42" spans="1:18" x14ac:dyDescent="0.3">
      <c r="A42" s="33" t="s">
        <v>148</v>
      </c>
      <c r="B42" s="26">
        <v>0</v>
      </c>
      <c r="C42" s="25">
        <v>0</v>
      </c>
      <c r="D42" s="26">
        <v>0</v>
      </c>
      <c r="E42" s="25">
        <v>0</v>
      </c>
      <c r="F42" s="26">
        <v>0</v>
      </c>
      <c r="G42" s="25">
        <v>0</v>
      </c>
      <c r="H42" s="26">
        <v>1</v>
      </c>
      <c r="I42" s="25">
        <v>0</v>
      </c>
      <c r="J42" s="26">
        <v>0</v>
      </c>
      <c r="K42" s="25">
        <v>1</v>
      </c>
      <c r="L42" s="26">
        <v>0</v>
      </c>
      <c r="M42" s="25">
        <v>0</v>
      </c>
      <c r="O42" s="1">
        <v>9</v>
      </c>
      <c r="P42" s="1" t="s">
        <v>181</v>
      </c>
      <c r="Q42" s="1">
        <v>5</v>
      </c>
      <c r="R42" s="1" t="s">
        <v>195</v>
      </c>
    </row>
    <row r="43" spans="1:18" x14ac:dyDescent="0.3">
      <c r="A43" s="33" t="s">
        <v>149</v>
      </c>
      <c r="B43" s="36">
        <v>0</v>
      </c>
      <c r="C43" s="25">
        <v>0</v>
      </c>
      <c r="D43" s="26">
        <v>0</v>
      </c>
      <c r="E43" s="25">
        <v>0</v>
      </c>
      <c r="F43" s="36">
        <v>0</v>
      </c>
      <c r="G43" s="25">
        <v>0</v>
      </c>
      <c r="H43" s="26">
        <v>0</v>
      </c>
      <c r="I43" s="25">
        <v>0</v>
      </c>
      <c r="J43" s="36">
        <v>1</v>
      </c>
      <c r="K43" s="25">
        <v>0</v>
      </c>
      <c r="L43" s="36">
        <v>0</v>
      </c>
      <c r="M43" s="25">
        <v>0</v>
      </c>
      <c r="O43" s="1">
        <v>10</v>
      </c>
      <c r="P43" s="1" t="s">
        <v>183</v>
      </c>
      <c r="Q43" s="1">
        <v>4</v>
      </c>
      <c r="R43" s="1"/>
    </row>
    <row r="44" spans="1:18" x14ac:dyDescent="0.3">
      <c r="A44" s="33" t="s">
        <v>150</v>
      </c>
      <c r="B44" s="26">
        <v>0</v>
      </c>
      <c r="C44" s="25">
        <v>0</v>
      </c>
      <c r="D44" s="26">
        <v>1</v>
      </c>
      <c r="E44" s="25">
        <v>0</v>
      </c>
      <c r="F44" s="26">
        <v>0</v>
      </c>
      <c r="G44" s="25">
        <v>0</v>
      </c>
      <c r="H44" s="26">
        <v>0</v>
      </c>
      <c r="I44" s="25">
        <v>1</v>
      </c>
      <c r="J44" s="26">
        <v>0</v>
      </c>
      <c r="K44" s="25">
        <v>0</v>
      </c>
      <c r="L44" s="26">
        <v>0</v>
      </c>
      <c r="M44" s="25">
        <v>0</v>
      </c>
    </row>
    <row r="45" spans="1:18" x14ac:dyDescent="0.3">
      <c r="A45" s="33" t="s">
        <v>151</v>
      </c>
      <c r="B45" s="26">
        <v>0</v>
      </c>
      <c r="C45" s="25">
        <v>0</v>
      </c>
      <c r="D45" s="26">
        <v>1</v>
      </c>
      <c r="E45" s="25">
        <v>0</v>
      </c>
      <c r="F45" s="26">
        <v>0</v>
      </c>
      <c r="G45" s="25">
        <v>0</v>
      </c>
      <c r="H45" s="26">
        <v>0</v>
      </c>
      <c r="I45" s="25">
        <v>1</v>
      </c>
      <c r="J45" s="26">
        <v>0</v>
      </c>
      <c r="K45" s="25">
        <v>1</v>
      </c>
      <c r="L45" s="26">
        <v>0</v>
      </c>
      <c r="M45" s="25">
        <v>0</v>
      </c>
    </row>
    <row r="46" spans="1:18" x14ac:dyDescent="0.3">
      <c r="A46" s="33" t="s">
        <v>152</v>
      </c>
      <c r="B46" s="26">
        <v>0</v>
      </c>
      <c r="C46" s="25">
        <v>0</v>
      </c>
      <c r="D46" s="26">
        <v>1</v>
      </c>
      <c r="E46" s="25">
        <v>0</v>
      </c>
      <c r="F46" s="26">
        <v>0</v>
      </c>
      <c r="G46" s="25">
        <v>0</v>
      </c>
      <c r="H46" s="26">
        <v>0</v>
      </c>
      <c r="I46" s="25">
        <v>0</v>
      </c>
      <c r="J46" s="26">
        <v>0</v>
      </c>
      <c r="K46" s="25">
        <v>0</v>
      </c>
      <c r="L46" s="26">
        <v>0</v>
      </c>
      <c r="M46" s="25">
        <v>0</v>
      </c>
    </row>
    <row r="47" spans="1:18" x14ac:dyDescent="0.3">
      <c r="A47" s="33" t="s">
        <v>153</v>
      </c>
      <c r="B47" s="26">
        <v>0</v>
      </c>
      <c r="C47" s="25">
        <v>1</v>
      </c>
      <c r="D47" s="26">
        <v>0</v>
      </c>
      <c r="E47" s="25">
        <v>1</v>
      </c>
      <c r="F47" s="26">
        <v>1</v>
      </c>
      <c r="G47" s="25">
        <v>0</v>
      </c>
      <c r="H47" s="36">
        <v>0</v>
      </c>
      <c r="I47" s="25">
        <v>1</v>
      </c>
      <c r="J47" s="26">
        <v>0</v>
      </c>
      <c r="K47" s="25">
        <v>1</v>
      </c>
      <c r="L47" s="26">
        <v>0</v>
      </c>
      <c r="M47" s="25">
        <v>0</v>
      </c>
    </row>
    <row r="48" spans="1:18" x14ac:dyDescent="0.3">
      <c r="A48" s="33" t="s">
        <v>154</v>
      </c>
      <c r="B48" s="12">
        <v>0</v>
      </c>
      <c r="C48" s="16">
        <v>0</v>
      </c>
      <c r="D48" s="18">
        <v>1</v>
      </c>
      <c r="E48" s="16">
        <v>0</v>
      </c>
      <c r="F48" s="18">
        <v>0</v>
      </c>
      <c r="G48" s="18">
        <v>0</v>
      </c>
      <c r="H48" s="26">
        <v>0</v>
      </c>
      <c r="I48" s="25">
        <v>0</v>
      </c>
      <c r="J48" s="43">
        <v>0</v>
      </c>
      <c r="K48" s="18">
        <v>0</v>
      </c>
      <c r="L48" s="48">
        <v>0</v>
      </c>
      <c r="M48" s="50">
        <v>0</v>
      </c>
    </row>
    <row r="49" spans="1:13" ht="21" thickBot="1" x14ac:dyDescent="0.35">
      <c r="A49" s="33" t="s">
        <v>57</v>
      </c>
      <c r="B49" s="12">
        <v>1</v>
      </c>
      <c r="C49" s="16">
        <v>0</v>
      </c>
      <c r="D49" s="18">
        <v>0</v>
      </c>
      <c r="E49" s="16">
        <v>1</v>
      </c>
      <c r="F49" s="18">
        <v>0</v>
      </c>
      <c r="G49" s="18">
        <v>1</v>
      </c>
      <c r="H49" s="26">
        <v>0</v>
      </c>
      <c r="I49" s="25">
        <v>1</v>
      </c>
      <c r="J49" s="43">
        <v>0</v>
      </c>
      <c r="K49" s="18">
        <v>0</v>
      </c>
      <c r="L49" s="48">
        <v>0</v>
      </c>
      <c r="M49" s="50">
        <v>0</v>
      </c>
    </row>
    <row r="50" spans="1:13" ht="22" thickTop="1" thickBot="1" x14ac:dyDescent="0.35">
      <c r="A50" s="31" t="s">
        <v>33</v>
      </c>
      <c r="B50" s="32">
        <f t="shared" ref="B50:M50" si="7">SUM(B35:B49)</f>
        <v>1</v>
      </c>
      <c r="C50" s="32">
        <f t="shared" si="7"/>
        <v>3</v>
      </c>
      <c r="D50" s="32">
        <f t="shared" si="7"/>
        <v>6</v>
      </c>
      <c r="E50" s="32">
        <f t="shared" si="7"/>
        <v>6</v>
      </c>
      <c r="F50" s="32">
        <f t="shared" si="7"/>
        <v>6</v>
      </c>
      <c r="G50" s="32">
        <f t="shared" si="7"/>
        <v>1</v>
      </c>
      <c r="H50" s="32">
        <f t="shared" si="7"/>
        <v>1</v>
      </c>
      <c r="I50" s="32">
        <f t="shared" si="7"/>
        <v>6</v>
      </c>
      <c r="J50" s="32">
        <f t="shared" si="7"/>
        <v>1</v>
      </c>
      <c r="K50" s="32">
        <f t="shared" si="7"/>
        <v>4</v>
      </c>
      <c r="L50" s="32">
        <f t="shared" si="7"/>
        <v>0</v>
      </c>
      <c r="M50" s="32">
        <f t="shared" si="7"/>
        <v>0</v>
      </c>
    </row>
    <row r="51" spans="1:13" ht="21" thickTop="1" x14ac:dyDescent="0.3">
      <c r="A51" s="88"/>
      <c r="B51" s="88" t="s">
        <v>35</v>
      </c>
      <c r="C51" s="88" t="s">
        <v>37</v>
      </c>
      <c r="D51" s="88" t="s">
        <v>35</v>
      </c>
      <c r="E51" s="88" t="s">
        <v>37</v>
      </c>
      <c r="F51" s="88" t="s">
        <v>35</v>
      </c>
      <c r="G51" s="88" t="s">
        <v>37</v>
      </c>
      <c r="H51" s="88" t="s">
        <v>35</v>
      </c>
      <c r="I51" s="88" t="s">
        <v>37</v>
      </c>
      <c r="J51" s="88" t="s">
        <v>35</v>
      </c>
      <c r="K51" s="88" t="s">
        <v>37</v>
      </c>
      <c r="L51" s="88" t="s">
        <v>35</v>
      </c>
      <c r="M51" s="88" t="s">
        <v>37</v>
      </c>
    </row>
    <row r="52" spans="1:13" x14ac:dyDescent="0.3">
      <c r="A52" s="41" t="s">
        <v>42</v>
      </c>
      <c r="B52" s="42">
        <f t="shared" ref="B52:M52" si="8">AVERAGE(B35:B49)</f>
        <v>6.6666666666666666E-2</v>
      </c>
      <c r="C52" s="42">
        <f t="shared" si="8"/>
        <v>0.2</v>
      </c>
      <c r="D52" s="42">
        <f t="shared" si="8"/>
        <v>0.4</v>
      </c>
      <c r="E52" s="42">
        <f t="shared" si="8"/>
        <v>0.4</v>
      </c>
      <c r="F52" s="42">
        <f t="shared" si="8"/>
        <v>0.4</v>
      </c>
      <c r="G52" s="42">
        <f t="shared" si="8"/>
        <v>6.6666666666666666E-2</v>
      </c>
      <c r="H52" s="42">
        <f t="shared" si="8"/>
        <v>6.6666666666666666E-2</v>
      </c>
      <c r="I52" s="42">
        <f t="shared" si="8"/>
        <v>0.4</v>
      </c>
      <c r="J52" s="42">
        <f t="shared" si="8"/>
        <v>6.6666666666666666E-2</v>
      </c>
      <c r="K52" s="42">
        <f t="shared" si="8"/>
        <v>0.26666666666666666</v>
      </c>
      <c r="L52" s="42">
        <f t="shared" si="8"/>
        <v>0</v>
      </c>
      <c r="M52" s="42">
        <f t="shared" si="8"/>
        <v>0</v>
      </c>
    </row>
    <row r="53" spans="1:13" x14ac:dyDescent="0.3">
      <c r="A53" s="1" t="s">
        <v>44</v>
      </c>
      <c r="B53" s="121">
        <f>SUM(B52,C52)</f>
        <v>0.26666666666666666</v>
      </c>
      <c r="C53" s="122"/>
      <c r="D53" s="121">
        <f t="shared" ref="D53" si="9">SUM(D52,E52)</f>
        <v>0.8</v>
      </c>
      <c r="E53" s="122"/>
      <c r="F53" s="121">
        <f t="shared" ref="F53" si="10">SUM(F52,G52)</f>
        <v>0.46666666666666667</v>
      </c>
      <c r="G53" s="122"/>
      <c r="H53" s="121">
        <f t="shared" ref="H53" si="11">SUM(H52,I52)</f>
        <v>0.46666666666666667</v>
      </c>
      <c r="I53" s="122"/>
      <c r="J53" s="121">
        <f t="shared" ref="J53" si="12">SUM(J52,K52)</f>
        <v>0.33333333333333331</v>
      </c>
      <c r="K53" s="122"/>
      <c r="L53" s="121">
        <f t="shared" ref="L53" si="13">SUM(L52,M52)</f>
        <v>0</v>
      </c>
      <c r="M53" s="122"/>
    </row>
    <row r="54" spans="1:13" ht="21" thickBot="1" x14ac:dyDescent="0.35"/>
    <row r="55" spans="1:13" ht="22" thickTop="1" thickBot="1" x14ac:dyDescent="0.35">
      <c r="A55" s="54" t="s">
        <v>60</v>
      </c>
      <c r="B55" s="116" t="s">
        <v>12</v>
      </c>
      <c r="C55" s="117"/>
      <c r="D55" s="117"/>
      <c r="E55" s="117"/>
      <c r="F55" s="117"/>
      <c r="G55" s="117"/>
      <c r="H55" s="117"/>
      <c r="I55" s="117"/>
      <c r="J55" s="117"/>
      <c r="K55" s="117"/>
      <c r="L55" s="117"/>
      <c r="M55" s="118"/>
    </row>
    <row r="56" spans="1:13" ht="21" thickBot="1" x14ac:dyDescent="0.35">
      <c r="A56" s="56" t="s">
        <v>4</v>
      </c>
      <c r="B56" s="128" t="s">
        <v>112</v>
      </c>
      <c r="C56" s="128"/>
      <c r="D56" s="128" t="s">
        <v>114</v>
      </c>
      <c r="E56" s="128"/>
      <c r="F56" s="128" t="s">
        <v>119</v>
      </c>
      <c r="G56" s="128"/>
      <c r="H56" s="128" t="s">
        <v>115</v>
      </c>
      <c r="I56" s="128"/>
      <c r="J56" s="128" t="s">
        <v>116</v>
      </c>
      <c r="K56" s="128"/>
      <c r="L56" s="128" t="s">
        <v>117</v>
      </c>
      <c r="M56" s="128"/>
    </row>
    <row r="57" spans="1:13" ht="21" thickTop="1" x14ac:dyDescent="0.3">
      <c r="A57" s="58" t="s">
        <v>155</v>
      </c>
      <c r="B57" s="59">
        <v>1</v>
      </c>
      <c r="C57" s="59">
        <v>0</v>
      </c>
      <c r="D57" s="59">
        <v>0</v>
      </c>
      <c r="E57" s="59">
        <v>0</v>
      </c>
      <c r="F57" s="59">
        <v>0</v>
      </c>
      <c r="G57" s="59">
        <v>0</v>
      </c>
      <c r="H57" s="59">
        <v>0</v>
      </c>
      <c r="I57" s="59">
        <v>0</v>
      </c>
      <c r="J57" s="59">
        <v>0</v>
      </c>
      <c r="K57" s="59">
        <v>0</v>
      </c>
      <c r="L57" s="59">
        <v>0</v>
      </c>
      <c r="M57" s="59">
        <v>0</v>
      </c>
    </row>
    <row r="58" spans="1:13" x14ac:dyDescent="0.3">
      <c r="A58" s="58"/>
      <c r="B58" s="59">
        <v>1</v>
      </c>
      <c r="C58" s="60">
        <v>0</v>
      </c>
      <c r="D58" s="59">
        <v>0</v>
      </c>
      <c r="E58" s="60">
        <v>0</v>
      </c>
      <c r="F58" s="69">
        <v>0</v>
      </c>
      <c r="G58" s="69">
        <v>0</v>
      </c>
      <c r="H58" s="70">
        <v>0</v>
      </c>
      <c r="I58" s="71">
        <v>0</v>
      </c>
      <c r="J58" s="69">
        <v>0</v>
      </c>
      <c r="K58" s="69">
        <v>0</v>
      </c>
      <c r="L58" s="70">
        <v>0</v>
      </c>
      <c r="M58" s="72">
        <v>0</v>
      </c>
    </row>
    <row r="59" spans="1:13" x14ac:dyDescent="0.3">
      <c r="A59" s="58"/>
      <c r="B59" s="59">
        <v>1</v>
      </c>
      <c r="C59" s="60">
        <v>0</v>
      </c>
      <c r="D59" s="59">
        <v>0</v>
      </c>
      <c r="E59" s="60">
        <v>0</v>
      </c>
      <c r="F59" s="69">
        <v>0</v>
      </c>
      <c r="G59" s="69">
        <v>0</v>
      </c>
      <c r="H59" s="70">
        <v>0</v>
      </c>
      <c r="I59" s="71">
        <v>0</v>
      </c>
      <c r="J59" s="69">
        <v>0</v>
      </c>
      <c r="K59" s="69">
        <v>0</v>
      </c>
      <c r="L59" s="70">
        <v>0</v>
      </c>
      <c r="M59" s="72">
        <v>0</v>
      </c>
    </row>
    <row r="60" spans="1:13" x14ac:dyDescent="0.3">
      <c r="A60" s="58" t="s">
        <v>156</v>
      </c>
      <c r="B60" s="59">
        <v>0</v>
      </c>
      <c r="C60" s="60">
        <v>0</v>
      </c>
      <c r="D60" s="59">
        <v>1</v>
      </c>
      <c r="E60" s="60">
        <v>0</v>
      </c>
      <c r="F60" s="69">
        <v>0</v>
      </c>
      <c r="G60" s="69">
        <v>0</v>
      </c>
      <c r="H60" s="70">
        <v>0</v>
      </c>
      <c r="I60" s="71">
        <v>0</v>
      </c>
      <c r="J60" s="69">
        <v>0</v>
      </c>
      <c r="K60" s="69">
        <v>1</v>
      </c>
      <c r="L60" s="70">
        <v>0</v>
      </c>
      <c r="M60" s="72">
        <v>0</v>
      </c>
    </row>
    <row r="61" spans="1:13" x14ac:dyDescent="0.3">
      <c r="A61" s="58"/>
      <c r="B61" s="59">
        <v>0</v>
      </c>
      <c r="C61" s="60">
        <v>1</v>
      </c>
      <c r="D61" s="59">
        <v>1</v>
      </c>
      <c r="E61" s="60">
        <v>0</v>
      </c>
      <c r="F61" s="69">
        <v>0</v>
      </c>
      <c r="G61" s="69">
        <v>0</v>
      </c>
      <c r="H61" s="70">
        <v>0</v>
      </c>
      <c r="I61" s="71">
        <v>0</v>
      </c>
      <c r="J61" s="69">
        <v>0</v>
      </c>
      <c r="K61" s="69">
        <v>1</v>
      </c>
      <c r="L61" s="70">
        <v>0</v>
      </c>
      <c r="M61" s="72">
        <v>0</v>
      </c>
    </row>
    <row r="62" spans="1:13" x14ac:dyDescent="0.3">
      <c r="A62" s="58" t="s">
        <v>157</v>
      </c>
      <c r="B62" s="59">
        <v>1</v>
      </c>
      <c r="C62" s="60">
        <v>0</v>
      </c>
      <c r="D62" s="59">
        <v>0</v>
      </c>
      <c r="E62" s="60">
        <v>0</v>
      </c>
      <c r="F62" s="69">
        <v>0</v>
      </c>
      <c r="G62" s="69">
        <v>0</v>
      </c>
      <c r="H62" s="70">
        <v>0</v>
      </c>
      <c r="I62" s="71">
        <v>0</v>
      </c>
      <c r="J62" s="69">
        <v>0</v>
      </c>
      <c r="K62" s="69">
        <v>0</v>
      </c>
      <c r="L62" s="70">
        <v>0</v>
      </c>
      <c r="M62" s="72">
        <v>0</v>
      </c>
    </row>
    <row r="63" spans="1:13" x14ac:dyDescent="0.3">
      <c r="A63" s="58"/>
      <c r="B63" s="59">
        <v>1</v>
      </c>
      <c r="C63" s="60">
        <v>0</v>
      </c>
      <c r="D63" s="59">
        <v>0</v>
      </c>
      <c r="E63" s="60">
        <v>0</v>
      </c>
      <c r="F63" s="69">
        <v>0</v>
      </c>
      <c r="G63" s="69">
        <v>0</v>
      </c>
      <c r="H63" s="70">
        <v>0</v>
      </c>
      <c r="I63" s="71">
        <v>0</v>
      </c>
      <c r="J63" s="69">
        <v>0</v>
      </c>
      <c r="K63" s="69">
        <v>0</v>
      </c>
      <c r="L63" s="70">
        <v>0</v>
      </c>
      <c r="M63" s="72">
        <v>0</v>
      </c>
    </row>
    <row r="64" spans="1:13" x14ac:dyDescent="0.3">
      <c r="A64" s="58"/>
      <c r="B64" s="59">
        <v>1</v>
      </c>
      <c r="C64" s="60">
        <v>0</v>
      </c>
      <c r="D64" s="59">
        <v>0</v>
      </c>
      <c r="E64" s="60">
        <v>0</v>
      </c>
      <c r="F64" s="69">
        <v>0</v>
      </c>
      <c r="G64" s="69">
        <v>0</v>
      </c>
      <c r="H64" s="70">
        <v>0</v>
      </c>
      <c r="I64" s="71">
        <v>0</v>
      </c>
      <c r="J64" s="69">
        <v>0</v>
      </c>
      <c r="K64" s="69">
        <v>0</v>
      </c>
      <c r="L64" s="70">
        <v>0</v>
      </c>
      <c r="M64" s="72">
        <v>0</v>
      </c>
    </row>
    <row r="65" spans="1:13" x14ac:dyDescent="0.3">
      <c r="A65" s="58" t="s">
        <v>158</v>
      </c>
      <c r="B65" s="59">
        <v>0</v>
      </c>
      <c r="C65" s="60">
        <v>0</v>
      </c>
      <c r="D65" s="59">
        <v>1</v>
      </c>
      <c r="E65" s="60">
        <v>0</v>
      </c>
      <c r="F65" s="69">
        <v>0</v>
      </c>
      <c r="G65" s="69">
        <v>1</v>
      </c>
      <c r="H65" s="70">
        <v>0</v>
      </c>
      <c r="I65" s="71">
        <v>0</v>
      </c>
      <c r="J65" s="69">
        <v>0</v>
      </c>
      <c r="K65" s="69">
        <v>0</v>
      </c>
      <c r="L65" s="70">
        <v>0</v>
      </c>
      <c r="M65" s="72">
        <v>0</v>
      </c>
    </row>
    <row r="66" spans="1:13" x14ac:dyDescent="0.3">
      <c r="A66" s="58"/>
      <c r="B66" s="59">
        <v>0</v>
      </c>
      <c r="C66" s="60">
        <v>0</v>
      </c>
      <c r="D66" s="59">
        <v>0</v>
      </c>
      <c r="E66" s="60">
        <v>1</v>
      </c>
      <c r="F66" s="69">
        <v>0</v>
      </c>
      <c r="G66" s="69">
        <v>0</v>
      </c>
      <c r="H66" s="70">
        <v>1</v>
      </c>
      <c r="I66" s="71">
        <v>0</v>
      </c>
      <c r="J66" s="69">
        <v>0</v>
      </c>
      <c r="K66" s="69">
        <v>0</v>
      </c>
      <c r="L66" s="70">
        <v>0</v>
      </c>
      <c r="M66" s="72">
        <v>0</v>
      </c>
    </row>
    <row r="67" spans="1:13" x14ac:dyDescent="0.3">
      <c r="A67" s="58"/>
      <c r="B67" s="59">
        <v>0</v>
      </c>
      <c r="C67" s="60">
        <v>0</v>
      </c>
      <c r="D67" s="59">
        <v>1</v>
      </c>
      <c r="E67" s="60">
        <v>0</v>
      </c>
      <c r="F67" s="69">
        <v>0</v>
      </c>
      <c r="G67" s="69">
        <v>1</v>
      </c>
      <c r="H67" s="70">
        <v>0</v>
      </c>
      <c r="I67" s="71">
        <v>1</v>
      </c>
      <c r="J67" s="69">
        <v>0</v>
      </c>
      <c r="K67" s="69">
        <v>0</v>
      </c>
      <c r="L67" s="70">
        <v>0</v>
      </c>
      <c r="M67" s="72">
        <v>0</v>
      </c>
    </row>
    <row r="68" spans="1:13" x14ac:dyDescent="0.3">
      <c r="A68" s="58" t="s">
        <v>159</v>
      </c>
      <c r="B68" s="59">
        <v>0</v>
      </c>
      <c r="C68" s="60">
        <v>0</v>
      </c>
      <c r="D68" s="59">
        <v>0</v>
      </c>
      <c r="E68" s="60">
        <v>0</v>
      </c>
      <c r="F68" s="69">
        <v>0</v>
      </c>
      <c r="G68" s="69">
        <v>0</v>
      </c>
      <c r="H68" s="60">
        <v>0</v>
      </c>
      <c r="I68" s="60">
        <v>0</v>
      </c>
      <c r="J68" s="60">
        <v>1</v>
      </c>
      <c r="K68" s="60">
        <v>0</v>
      </c>
      <c r="L68" s="60">
        <v>0</v>
      </c>
      <c r="M68" s="72">
        <v>0</v>
      </c>
    </row>
    <row r="69" spans="1:13" x14ac:dyDescent="0.3">
      <c r="A69" s="58"/>
      <c r="B69" s="59">
        <v>0</v>
      </c>
      <c r="C69" s="60">
        <v>0</v>
      </c>
      <c r="D69" s="59">
        <v>0</v>
      </c>
      <c r="E69" s="76">
        <v>0</v>
      </c>
      <c r="F69" s="69">
        <v>0</v>
      </c>
      <c r="G69" s="69">
        <v>0</v>
      </c>
      <c r="H69" s="75">
        <v>0</v>
      </c>
      <c r="I69" s="76">
        <v>0</v>
      </c>
      <c r="J69" s="59">
        <v>1</v>
      </c>
      <c r="K69" s="59">
        <v>0</v>
      </c>
      <c r="L69" s="75">
        <v>0</v>
      </c>
      <c r="M69" s="84">
        <v>0</v>
      </c>
    </row>
    <row r="70" spans="1:13" x14ac:dyDescent="0.3">
      <c r="A70" s="58"/>
      <c r="B70" s="59">
        <v>0</v>
      </c>
      <c r="C70" s="60">
        <v>0</v>
      </c>
      <c r="D70" s="59">
        <v>0</v>
      </c>
      <c r="E70" s="60">
        <v>0</v>
      </c>
      <c r="F70" s="69">
        <v>0</v>
      </c>
      <c r="G70" s="69">
        <v>0</v>
      </c>
      <c r="H70" s="77">
        <v>0</v>
      </c>
      <c r="I70" s="60">
        <v>0</v>
      </c>
      <c r="J70" s="59">
        <v>1</v>
      </c>
      <c r="K70" s="59">
        <v>0</v>
      </c>
      <c r="L70" s="77">
        <v>0</v>
      </c>
      <c r="M70" s="85">
        <v>0</v>
      </c>
    </row>
    <row r="71" spans="1:13" x14ac:dyDescent="0.3">
      <c r="A71" s="58" t="s">
        <v>160</v>
      </c>
      <c r="B71" s="59">
        <v>0</v>
      </c>
      <c r="C71" s="60">
        <v>0</v>
      </c>
      <c r="D71" s="59">
        <v>0</v>
      </c>
      <c r="E71" s="60">
        <v>0</v>
      </c>
      <c r="F71" s="69">
        <v>0</v>
      </c>
      <c r="G71" s="69">
        <v>0</v>
      </c>
      <c r="H71" s="77">
        <v>1</v>
      </c>
      <c r="I71" s="60">
        <v>0</v>
      </c>
      <c r="J71" s="59">
        <v>0</v>
      </c>
      <c r="K71" s="59">
        <v>1</v>
      </c>
      <c r="L71" s="77">
        <v>0</v>
      </c>
      <c r="M71" s="85">
        <v>0</v>
      </c>
    </row>
    <row r="72" spans="1:13" x14ac:dyDescent="0.3">
      <c r="A72" s="58"/>
      <c r="B72" s="59">
        <v>0</v>
      </c>
      <c r="C72" s="60">
        <v>0</v>
      </c>
      <c r="D72" s="59">
        <v>0</v>
      </c>
      <c r="E72" s="60">
        <v>0</v>
      </c>
      <c r="F72" s="69">
        <v>0</v>
      </c>
      <c r="G72" s="69">
        <v>0</v>
      </c>
      <c r="H72" s="77">
        <v>1</v>
      </c>
      <c r="I72" s="60">
        <v>0</v>
      </c>
      <c r="J72" s="59">
        <v>0</v>
      </c>
      <c r="K72" s="59">
        <v>1</v>
      </c>
      <c r="L72" s="77">
        <v>0</v>
      </c>
      <c r="M72" s="85">
        <v>0</v>
      </c>
    </row>
    <row r="73" spans="1:13" x14ac:dyDescent="0.3">
      <c r="A73" s="58" t="s">
        <v>161</v>
      </c>
      <c r="B73" s="59">
        <v>0</v>
      </c>
      <c r="C73" s="60">
        <v>1</v>
      </c>
      <c r="D73" s="59">
        <v>1</v>
      </c>
      <c r="E73" s="60">
        <v>1</v>
      </c>
      <c r="F73" s="69">
        <v>0</v>
      </c>
      <c r="G73" s="69">
        <v>0</v>
      </c>
      <c r="H73" s="77">
        <v>0</v>
      </c>
      <c r="I73" s="60">
        <v>0</v>
      </c>
      <c r="J73" s="59">
        <v>0</v>
      </c>
      <c r="K73" s="59">
        <v>0</v>
      </c>
      <c r="L73" s="77">
        <v>0</v>
      </c>
      <c r="M73" s="85">
        <v>0</v>
      </c>
    </row>
    <row r="74" spans="1:13" x14ac:dyDescent="0.3">
      <c r="A74" s="58"/>
      <c r="B74" s="59">
        <v>0</v>
      </c>
      <c r="C74" s="60">
        <v>1</v>
      </c>
      <c r="D74" s="59">
        <v>1</v>
      </c>
      <c r="E74" s="60">
        <v>0</v>
      </c>
      <c r="F74" s="69">
        <v>0</v>
      </c>
      <c r="G74" s="69">
        <v>0</v>
      </c>
      <c r="H74" s="77">
        <v>0</v>
      </c>
      <c r="I74" s="60">
        <v>1</v>
      </c>
      <c r="J74" s="59">
        <v>0</v>
      </c>
      <c r="K74" s="59">
        <v>0</v>
      </c>
      <c r="L74" s="77">
        <v>0</v>
      </c>
      <c r="M74" s="85">
        <v>0</v>
      </c>
    </row>
    <row r="75" spans="1:13" x14ac:dyDescent="0.3">
      <c r="A75" s="58" t="s">
        <v>162</v>
      </c>
      <c r="B75" s="59">
        <v>0</v>
      </c>
      <c r="C75" s="60">
        <v>1</v>
      </c>
      <c r="D75" s="59">
        <v>1</v>
      </c>
      <c r="E75" s="60">
        <v>0</v>
      </c>
      <c r="F75" s="69">
        <v>0</v>
      </c>
      <c r="G75" s="69">
        <v>0</v>
      </c>
      <c r="H75" s="77">
        <v>0</v>
      </c>
      <c r="I75" s="60">
        <v>0</v>
      </c>
      <c r="J75" s="59">
        <v>0</v>
      </c>
      <c r="K75" s="59">
        <v>1</v>
      </c>
      <c r="L75" s="77">
        <v>0</v>
      </c>
      <c r="M75" s="85">
        <v>0</v>
      </c>
    </row>
    <row r="76" spans="1:13" x14ac:dyDescent="0.3">
      <c r="A76" s="58" t="s">
        <v>163</v>
      </c>
      <c r="B76" s="59">
        <v>1</v>
      </c>
      <c r="C76" s="60">
        <v>0</v>
      </c>
      <c r="D76" s="59">
        <v>0</v>
      </c>
      <c r="E76" s="60">
        <v>0</v>
      </c>
      <c r="F76" s="69">
        <v>0</v>
      </c>
      <c r="G76" s="69">
        <v>0</v>
      </c>
      <c r="H76" s="77">
        <v>0</v>
      </c>
      <c r="I76" s="60">
        <v>0</v>
      </c>
      <c r="J76" s="59">
        <v>0</v>
      </c>
      <c r="K76" s="59">
        <v>0</v>
      </c>
      <c r="L76" s="77">
        <v>0</v>
      </c>
      <c r="M76" s="85">
        <v>0</v>
      </c>
    </row>
    <row r="77" spans="1:13" x14ac:dyDescent="0.3">
      <c r="A77" s="58"/>
      <c r="B77" s="59">
        <v>1</v>
      </c>
      <c r="C77" s="60">
        <v>0</v>
      </c>
      <c r="D77" s="59">
        <v>0</v>
      </c>
      <c r="E77" s="60">
        <v>1</v>
      </c>
      <c r="F77" s="69">
        <v>0</v>
      </c>
      <c r="G77" s="69">
        <v>0</v>
      </c>
      <c r="H77" s="77">
        <v>0</v>
      </c>
      <c r="I77" s="60">
        <v>0</v>
      </c>
      <c r="J77" s="59">
        <v>0</v>
      </c>
      <c r="K77" s="59">
        <v>0</v>
      </c>
      <c r="L77" s="77">
        <v>0</v>
      </c>
      <c r="M77" s="85">
        <v>0</v>
      </c>
    </row>
    <row r="78" spans="1:13" x14ac:dyDescent="0.3">
      <c r="A78" s="58"/>
      <c r="B78" s="59">
        <v>1</v>
      </c>
      <c r="C78" s="60">
        <v>0</v>
      </c>
      <c r="D78" s="59">
        <v>0</v>
      </c>
      <c r="E78" s="60">
        <v>0</v>
      </c>
      <c r="F78" s="69">
        <v>0</v>
      </c>
      <c r="G78" s="69">
        <v>0</v>
      </c>
      <c r="H78" s="77">
        <v>0</v>
      </c>
      <c r="I78" s="60">
        <v>0</v>
      </c>
      <c r="J78" s="59">
        <v>0</v>
      </c>
      <c r="K78" s="59">
        <v>0</v>
      </c>
      <c r="L78" s="77">
        <v>0</v>
      </c>
      <c r="M78" s="85">
        <v>0</v>
      </c>
    </row>
    <row r="79" spans="1:13" x14ac:dyDescent="0.3">
      <c r="A79" s="58"/>
      <c r="B79" s="59">
        <v>1</v>
      </c>
      <c r="C79" s="60">
        <v>0</v>
      </c>
      <c r="D79" s="59">
        <v>0</v>
      </c>
      <c r="E79" s="60">
        <v>0</v>
      </c>
      <c r="F79" s="69">
        <v>0</v>
      </c>
      <c r="G79" s="69">
        <v>0</v>
      </c>
      <c r="H79" s="77">
        <v>0</v>
      </c>
      <c r="I79" s="60">
        <v>0</v>
      </c>
      <c r="J79" s="59">
        <v>0</v>
      </c>
      <c r="K79" s="59">
        <v>0</v>
      </c>
      <c r="L79" s="77">
        <v>0</v>
      </c>
      <c r="M79" s="85">
        <v>0</v>
      </c>
    </row>
    <row r="80" spans="1:13" x14ac:dyDescent="0.3">
      <c r="A80" s="58"/>
      <c r="B80" s="59">
        <v>1</v>
      </c>
      <c r="C80" s="60">
        <v>0</v>
      </c>
      <c r="D80" s="59">
        <v>0</v>
      </c>
      <c r="E80" s="60">
        <v>1</v>
      </c>
      <c r="F80" s="69">
        <v>0</v>
      </c>
      <c r="G80" s="69">
        <v>0</v>
      </c>
      <c r="H80" s="77">
        <v>0</v>
      </c>
      <c r="I80" s="60">
        <v>0</v>
      </c>
      <c r="J80" s="59">
        <v>0</v>
      </c>
      <c r="K80" s="59">
        <v>0</v>
      </c>
      <c r="L80" s="77">
        <v>0</v>
      </c>
      <c r="M80" s="85">
        <v>0</v>
      </c>
    </row>
    <row r="81" spans="1:13" x14ac:dyDescent="0.3">
      <c r="A81" s="58"/>
      <c r="B81" s="59">
        <v>1</v>
      </c>
      <c r="C81" s="60">
        <v>0</v>
      </c>
      <c r="D81" s="77">
        <v>0</v>
      </c>
      <c r="E81" s="60">
        <v>1</v>
      </c>
      <c r="F81" s="69">
        <v>0</v>
      </c>
      <c r="G81" s="69">
        <v>0</v>
      </c>
      <c r="H81" s="77">
        <v>0</v>
      </c>
      <c r="I81" s="60">
        <v>0</v>
      </c>
      <c r="J81" s="59">
        <v>0</v>
      </c>
      <c r="K81" s="59">
        <v>0</v>
      </c>
      <c r="L81" s="77">
        <v>0</v>
      </c>
      <c r="M81" s="85">
        <v>0</v>
      </c>
    </row>
    <row r="82" spans="1:13" x14ac:dyDescent="0.3">
      <c r="A82" s="58"/>
      <c r="B82" s="59">
        <v>1</v>
      </c>
      <c r="C82" s="60">
        <v>0</v>
      </c>
      <c r="D82" s="77">
        <v>0</v>
      </c>
      <c r="E82" s="60">
        <v>0</v>
      </c>
      <c r="F82" s="69">
        <v>0</v>
      </c>
      <c r="G82" s="69">
        <v>0</v>
      </c>
      <c r="H82" s="77">
        <v>0</v>
      </c>
      <c r="I82" s="60">
        <v>0</v>
      </c>
      <c r="J82" s="59">
        <v>0</v>
      </c>
      <c r="K82" s="59">
        <v>0</v>
      </c>
      <c r="L82" s="77">
        <v>0</v>
      </c>
      <c r="M82" s="85">
        <v>0</v>
      </c>
    </row>
    <row r="83" spans="1:13" x14ac:dyDescent="0.3">
      <c r="A83" s="58" t="s">
        <v>164</v>
      </c>
      <c r="B83" s="59">
        <v>0</v>
      </c>
      <c r="C83" s="60">
        <v>0</v>
      </c>
      <c r="D83" s="77">
        <v>1</v>
      </c>
      <c r="E83" s="60">
        <v>0</v>
      </c>
      <c r="F83" s="69">
        <v>0</v>
      </c>
      <c r="G83" s="69">
        <v>0</v>
      </c>
      <c r="H83" s="77">
        <v>0</v>
      </c>
      <c r="I83" s="60">
        <v>0</v>
      </c>
      <c r="J83" s="59">
        <v>0</v>
      </c>
      <c r="K83" s="59">
        <v>0</v>
      </c>
      <c r="L83" s="77">
        <v>0</v>
      </c>
      <c r="M83" s="85">
        <v>0</v>
      </c>
    </row>
    <row r="84" spans="1:13" x14ac:dyDescent="0.3">
      <c r="A84" s="58"/>
      <c r="B84" s="59">
        <v>0</v>
      </c>
      <c r="C84" s="60">
        <v>0</v>
      </c>
      <c r="D84" s="77">
        <v>0</v>
      </c>
      <c r="E84" s="60">
        <v>0</v>
      </c>
      <c r="F84" s="69">
        <v>0</v>
      </c>
      <c r="G84" s="69">
        <v>0</v>
      </c>
      <c r="H84" s="77">
        <v>0</v>
      </c>
      <c r="I84" s="60">
        <v>0</v>
      </c>
      <c r="J84" s="59">
        <v>1</v>
      </c>
      <c r="K84" s="59">
        <v>0</v>
      </c>
      <c r="L84" s="77">
        <v>0</v>
      </c>
      <c r="M84" s="85">
        <v>0</v>
      </c>
    </row>
    <row r="85" spans="1:13" x14ac:dyDescent="0.3">
      <c r="A85" s="58"/>
      <c r="B85" s="59">
        <v>0</v>
      </c>
      <c r="C85" s="60">
        <v>0</v>
      </c>
      <c r="D85" s="77">
        <v>1</v>
      </c>
      <c r="E85" s="60">
        <v>0</v>
      </c>
      <c r="F85" s="69">
        <v>0</v>
      </c>
      <c r="G85" s="69">
        <v>0</v>
      </c>
      <c r="H85" s="77">
        <v>0</v>
      </c>
      <c r="I85" s="60">
        <v>0</v>
      </c>
      <c r="J85" s="59">
        <v>0</v>
      </c>
      <c r="K85" s="59">
        <v>0</v>
      </c>
      <c r="L85" s="77">
        <v>0</v>
      </c>
      <c r="M85" s="85">
        <v>0</v>
      </c>
    </row>
    <row r="86" spans="1:13" x14ac:dyDescent="0.3">
      <c r="A86" s="58"/>
      <c r="B86" s="59">
        <v>0</v>
      </c>
      <c r="C86" s="60">
        <v>0</v>
      </c>
      <c r="D86" s="77">
        <v>0</v>
      </c>
      <c r="E86" s="60">
        <v>0</v>
      </c>
      <c r="F86" s="69">
        <v>0</v>
      </c>
      <c r="G86" s="69">
        <v>0</v>
      </c>
      <c r="H86" s="77">
        <v>0</v>
      </c>
      <c r="I86" s="60">
        <v>0</v>
      </c>
      <c r="J86" s="59">
        <v>1</v>
      </c>
      <c r="K86" s="59">
        <v>0</v>
      </c>
      <c r="L86" s="77">
        <v>0</v>
      </c>
      <c r="M86" s="85">
        <v>0</v>
      </c>
    </row>
    <row r="87" spans="1:13" x14ac:dyDescent="0.3">
      <c r="A87" s="58"/>
      <c r="B87" s="59">
        <v>0</v>
      </c>
      <c r="C87" s="60">
        <v>0</v>
      </c>
      <c r="D87" s="77">
        <v>1</v>
      </c>
      <c r="E87" s="60">
        <v>0</v>
      </c>
      <c r="F87" s="69">
        <v>0</v>
      </c>
      <c r="G87" s="69">
        <v>1</v>
      </c>
      <c r="H87" s="77">
        <v>0</v>
      </c>
      <c r="I87" s="60">
        <v>0</v>
      </c>
      <c r="J87" s="59">
        <v>0</v>
      </c>
      <c r="K87" s="59">
        <v>1</v>
      </c>
      <c r="L87" s="77">
        <v>0</v>
      </c>
      <c r="M87" s="85">
        <v>0</v>
      </c>
    </row>
    <row r="88" spans="1:13" x14ac:dyDescent="0.3">
      <c r="A88" s="58"/>
      <c r="B88" s="59">
        <v>0</v>
      </c>
      <c r="C88" s="60">
        <v>0</v>
      </c>
      <c r="D88" s="77">
        <v>1</v>
      </c>
      <c r="E88" s="60">
        <v>0</v>
      </c>
      <c r="F88" s="69">
        <v>0</v>
      </c>
      <c r="G88" s="69">
        <v>0</v>
      </c>
      <c r="H88" s="77">
        <v>0</v>
      </c>
      <c r="I88" s="60">
        <v>0</v>
      </c>
      <c r="J88" s="59">
        <v>0</v>
      </c>
      <c r="K88" s="59">
        <v>0</v>
      </c>
      <c r="L88" s="77">
        <v>0</v>
      </c>
      <c r="M88" s="85">
        <v>0</v>
      </c>
    </row>
    <row r="89" spans="1:13" x14ac:dyDescent="0.3">
      <c r="A89" s="58"/>
      <c r="B89" s="59">
        <v>0</v>
      </c>
      <c r="C89" s="60">
        <v>0</v>
      </c>
      <c r="D89" s="77">
        <v>1</v>
      </c>
      <c r="E89" s="60">
        <v>0</v>
      </c>
      <c r="F89" s="69">
        <v>0</v>
      </c>
      <c r="G89" s="69">
        <v>1</v>
      </c>
      <c r="H89" s="77">
        <v>0</v>
      </c>
      <c r="I89" s="60">
        <v>0</v>
      </c>
      <c r="J89" s="59">
        <v>0</v>
      </c>
      <c r="K89" s="59">
        <v>1</v>
      </c>
      <c r="L89" s="77">
        <v>0</v>
      </c>
      <c r="M89" s="85">
        <v>0</v>
      </c>
    </row>
    <row r="90" spans="1:13" x14ac:dyDescent="0.3">
      <c r="A90" s="58"/>
      <c r="B90" s="59">
        <v>0</v>
      </c>
      <c r="C90" s="60">
        <v>0</v>
      </c>
      <c r="D90" s="77">
        <v>1</v>
      </c>
      <c r="E90" s="60">
        <v>0</v>
      </c>
      <c r="F90" s="69">
        <v>0</v>
      </c>
      <c r="G90" s="69">
        <v>0</v>
      </c>
      <c r="H90" s="77">
        <v>0</v>
      </c>
      <c r="I90" s="60">
        <v>0</v>
      </c>
      <c r="J90" s="59">
        <v>0</v>
      </c>
      <c r="K90" s="59">
        <v>0</v>
      </c>
      <c r="L90" s="77">
        <v>0</v>
      </c>
      <c r="M90" s="85">
        <v>0</v>
      </c>
    </row>
    <row r="91" spans="1:13" x14ac:dyDescent="0.3">
      <c r="A91" s="58"/>
      <c r="B91" s="59">
        <v>0</v>
      </c>
      <c r="C91" s="60">
        <v>0</v>
      </c>
      <c r="D91" s="77">
        <v>0</v>
      </c>
      <c r="E91" s="60">
        <v>1</v>
      </c>
      <c r="F91" s="69">
        <v>0</v>
      </c>
      <c r="G91" s="69">
        <v>0</v>
      </c>
      <c r="H91" s="77">
        <v>0</v>
      </c>
      <c r="I91" s="60">
        <v>0</v>
      </c>
      <c r="J91" s="59">
        <v>1</v>
      </c>
      <c r="K91" s="59">
        <v>0</v>
      </c>
      <c r="L91" s="77">
        <v>0</v>
      </c>
      <c r="M91" s="85">
        <v>0</v>
      </c>
    </row>
    <row r="92" spans="1:13" x14ac:dyDescent="0.3">
      <c r="A92" s="58"/>
      <c r="B92" s="59">
        <v>0</v>
      </c>
      <c r="C92" s="60">
        <v>0</v>
      </c>
      <c r="D92" s="77">
        <v>1</v>
      </c>
      <c r="E92" s="60">
        <v>0</v>
      </c>
      <c r="F92" s="69">
        <v>0</v>
      </c>
      <c r="G92" s="69">
        <v>0</v>
      </c>
      <c r="H92" s="77">
        <v>0</v>
      </c>
      <c r="I92" s="60">
        <v>0</v>
      </c>
      <c r="J92" s="59">
        <v>0</v>
      </c>
      <c r="K92" s="59">
        <v>0</v>
      </c>
      <c r="L92" s="77">
        <v>0</v>
      </c>
      <c r="M92" s="85">
        <v>0</v>
      </c>
    </row>
    <row r="93" spans="1:13" x14ac:dyDescent="0.3">
      <c r="A93" s="58" t="s">
        <v>165</v>
      </c>
      <c r="B93" s="59">
        <v>0</v>
      </c>
      <c r="C93" s="60">
        <v>1</v>
      </c>
      <c r="D93" s="77">
        <v>0</v>
      </c>
      <c r="E93" s="60">
        <v>1</v>
      </c>
      <c r="F93" s="69">
        <v>1</v>
      </c>
      <c r="G93" s="69">
        <v>0</v>
      </c>
      <c r="H93" s="77">
        <v>0</v>
      </c>
      <c r="I93" s="60">
        <v>0</v>
      </c>
      <c r="J93" s="59">
        <v>0</v>
      </c>
      <c r="K93" s="59">
        <v>1</v>
      </c>
      <c r="L93" s="77">
        <v>0</v>
      </c>
      <c r="M93" s="85">
        <v>0</v>
      </c>
    </row>
    <row r="94" spans="1:13" x14ac:dyDescent="0.3">
      <c r="A94" s="58"/>
      <c r="B94" s="59">
        <v>1</v>
      </c>
      <c r="C94" s="60">
        <v>0</v>
      </c>
      <c r="D94" s="77">
        <v>0</v>
      </c>
      <c r="E94" s="60">
        <v>1</v>
      </c>
      <c r="F94" s="69">
        <v>0</v>
      </c>
      <c r="G94" s="69">
        <v>0</v>
      </c>
      <c r="H94" s="77">
        <v>0</v>
      </c>
      <c r="I94" s="60">
        <v>0</v>
      </c>
      <c r="J94" s="59">
        <v>0</v>
      </c>
      <c r="K94" s="59">
        <v>1</v>
      </c>
      <c r="L94" s="77">
        <v>0</v>
      </c>
      <c r="M94" s="85">
        <v>0</v>
      </c>
    </row>
    <row r="95" spans="1:13" x14ac:dyDescent="0.3">
      <c r="A95" s="58"/>
      <c r="B95" s="59">
        <v>0</v>
      </c>
      <c r="C95" s="60">
        <v>1</v>
      </c>
      <c r="D95" s="77">
        <v>0</v>
      </c>
      <c r="E95" s="60">
        <v>1</v>
      </c>
      <c r="F95" s="69">
        <v>1</v>
      </c>
      <c r="G95" s="69">
        <v>0</v>
      </c>
      <c r="H95" s="77">
        <v>0</v>
      </c>
      <c r="I95" s="60">
        <v>1</v>
      </c>
      <c r="J95" s="59">
        <v>0</v>
      </c>
      <c r="K95" s="59">
        <v>1</v>
      </c>
      <c r="L95" s="77">
        <v>0</v>
      </c>
      <c r="M95" s="85">
        <v>0</v>
      </c>
    </row>
    <row r="96" spans="1:13" x14ac:dyDescent="0.3">
      <c r="A96" s="58"/>
      <c r="B96" s="59">
        <v>0</v>
      </c>
      <c r="C96" s="60">
        <v>1</v>
      </c>
      <c r="D96" s="77">
        <v>1</v>
      </c>
      <c r="E96" s="60">
        <v>0</v>
      </c>
      <c r="F96" s="69">
        <v>0</v>
      </c>
      <c r="G96" s="69">
        <v>0</v>
      </c>
      <c r="H96" s="77">
        <v>0</v>
      </c>
      <c r="I96" s="60">
        <v>0</v>
      </c>
      <c r="J96" s="59">
        <v>0</v>
      </c>
      <c r="K96" s="59">
        <v>0</v>
      </c>
      <c r="L96" s="77">
        <v>0</v>
      </c>
      <c r="M96" s="85">
        <v>0</v>
      </c>
    </row>
    <row r="97" spans="1:13" x14ac:dyDescent="0.3">
      <c r="A97" s="58"/>
      <c r="B97" s="59">
        <v>0</v>
      </c>
      <c r="C97" s="60">
        <v>1</v>
      </c>
      <c r="D97" s="77">
        <v>0</v>
      </c>
      <c r="E97" s="60">
        <v>1</v>
      </c>
      <c r="F97" s="69">
        <v>1</v>
      </c>
      <c r="G97" s="69">
        <v>0</v>
      </c>
      <c r="H97" s="77">
        <v>0</v>
      </c>
      <c r="I97" s="60">
        <v>0</v>
      </c>
      <c r="J97" s="59">
        <v>0</v>
      </c>
      <c r="K97" s="59">
        <v>1</v>
      </c>
      <c r="L97" s="77">
        <v>0</v>
      </c>
      <c r="M97" s="85">
        <v>0</v>
      </c>
    </row>
    <row r="98" spans="1:13" x14ac:dyDescent="0.3">
      <c r="A98" s="58" t="s">
        <v>166</v>
      </c>
      <c r="B98" s="59">
        <v>1</v>
      </c>
      <c r="C98" s="60">
        <v>0</v>
      </c>
      <c r="D98" s="77">
        <v>0</v>
      </c>
      <c r="E98" s="60">
        <v>1</v>
      </c>
      <c r="F98" s="69">
        <v>0</v>
      </c>
      <c r="G98" s="69">
        <v>1</v>
      </c>
      <c r="H98" s="77">
        <v>0</v>
      </c>
      <c r="I98" s="60">
        <v>0</v>
      </c>
      <c r="J98" s="59">
        <v>0</v>
      </c>
      <c r="K98" s="59">
        <v>1</v>
      </c>
      <c r="L98" s="77">
        <v>0</v>
      </c>
      <c r="M98" s="85">
        <v>1</v>
      </c>
    </row>
    <row r="99" spans="1:13" x14ac:dyDescent="0.3">
      <c r="A99" s="58"/>
      <c r="B99" s="59">
        <v>0</v>
      </c>
      <c r="C99" s="60">
        <v>0</v>
      </c>
      <c r="D99" s="77">
        <v>0</v>
      </c>
      <c r="E99" s="60">
        <v>0</v>
      </c>
      <c r="F99" s="69">
        <v>1</v>
      </c>
      <c r="G99" s="59">
        <v>0</v>
      </c>
      <c r="H99" s="77">
        <v>0</v>
      </c>
      <c r="I99" s="60">
        <v>0</v>
      </c>
      <c r="J99" s="59">
        <v>0</v>
      </c>
      <c r="K99" s="55">
        <v>1</v>
      </c>
      <c r="L99" s="77">
        <v>0</v>
      </c>
      <c r="M99" s="85">
        <v>0</v>
      </c>
    </row>
    <row r="100" spans="1:13" x14ac:dyDescent="0.3">
      <c r="A100" s="58" t="s">
        <v>167</v>
      </c>
      <c r="B100" s="59">
        <v>0</v>
      </c>
      <c r="C100" s="60">
        <v>0</v>
      </c>
      <c r="D100" s="77">
        <v>1</v>
      </c>
      <c r="E100" s="60">
        <v>0</v>
      </c>
      <c r="F100" s="69">
        <v>0</v>
      </c>
      <c r="G100" s="59">
        <v>0</v>
      </c>
      <c r="H100" s="80">
        <v>0</v>
      </c>
      <c r="I100" s="81">
        <v>0</v>
      </c>
      <c r="J100" s="73">
        <v>0</v>
      </c>
      <c r="K100" s="55">
        <v>1</v>
      </c>
      <c r="L100" s="77">
        <v>0</v>
      </c>
      <c r="M100" s="85">
        <v>0</v>
      </c>
    </row>
    <row r="101" spans="1:13" ht="21" thickBot="1" x14ac:dyDescent="0.35">
      <c r="A101" s="58"/>
      <c r="B101" s="59">
        <v>0</v>
      </c>
      <c r="C101" s="60">
        <v>0</v>
      </c>
      <c r="D101" s="77">
        <v>0</v>
      </c>
      <c r="E101" s="60">
        <v>0</v>
      </c>
      <c r="F101" s="69">
        <v>0</v>
      </c>
      <c r="G101" s="59">
        <v>0</v>
      </c>
      <c r="H101" s="80">
        <v>0</v>
      </c>
      <c r="I101" s="81">
        <v>0</v>
      </c>
      <c r="J101" s="73">
        <v>1</v>
      </c>
      <c r="K101" s="55">
        <v>0</v>
      </c>
      <c r="L101" s="80">
        <v>0</v>
      </c>
      <c r="M101" s="85">
        <v>0</v>
      </c>
    </row>
    <row r="102" spans="1:13" ht="22" thickTop="1" thickBot="1" x14ac:dyDescent="0.35">
      <c r="A102" s="62" t="s">
        <v>32</v>
      </c>
      <c r="B102" s="63">
        <f t="shared" ref="B102:M102" si="14">0+SUM(B57:B101)</f>
        <v>15</v>
      </c>
      <c r="C102" s="63">
        <f t="shared" si="14"/>
        <v>8</v>
      </c>
      <c r="D102" s="63">
        <f t="shared" si="14"/>
        <v>16</v>
      </c>
      <c r="E102" s="63">
        <f t="shared" si="14"/>
        <v>11</v>
      </c>
      <c r="F102" s="63">
        <f t="shared" si="14"/>
        <v>4</v>
      </c>
      <c r="G102" s="63">
        <f t="shared" si="14"/>
        <v>5</v>
      </c>
      <c r="H102" s="63">
        <f t="shared" si="14"/>
        <v>3</v>
      </c>
      <c r="I102" s="63">
        <f t="shared" si="14"/>
        <v>3</v>
      </c>
      <c r="J102" s="63">
        <f t="shared" si="14"/>
        <v>7</v>
      </c>
      <c r="K102" s="63">
        <f t="shared" si="14"/>
        <v>14</v>
      </c>
      <c r="L102" s="63">
        <f t="shared" si="14"/>
        <v>0</v>
      </c>
      <c r="M102" s="63">
        <f t="shared" si="14"/>
        <v>1</v>
      </c>
    </row>
    <row r="103" spans="1:13" ht="21" thickTop="1" x14ac:dyDescent="0.3">
      <c r="A103" s="57"/>
      <c r="B103" s="57" t="s">
        <v>34</v>
      </c>
      <c r="C103" s="57" t="s">
        <v>36</v>
      </c>
      <c r="D103" s="57" t="s">
        <v>34</v>
      </c>
      <c r="E103" s="57" t="s">
        <v>36</v>
      </c>
      <c r="F103" s="57" t="s">
        <v>34</v>
      </c>
      <c r="G103" s="57" t="s">
        <v>36</v>
      </c>
      <c r="H103" s="57" t="s">
        <v>34</v>
      </c>
      <c r="I103" s="57" t="s">
        <v>36</v>
      </c>
      <c r="J103" s="57" t="s">
        <v>34</v>
      </c>
      <c r="K103" s="57" t="s">
        <v>36</v>
      </c>
      <c r="L103" s="57" t="s">
        <v>34</v>
      </c>
      <c r="M103" s="57" t="s">
        <v>36</v>
      </c>
    </row>
    <row r="104" spans="1:13" x14ac:dyDescent="0.3">
      <c r="A104" s="64" t="s">
        <v>41</v>
      </c>
      <c r="B104" s="65">
        <f t="shared" ref="B104:M104" si="15">0%+AVERAGE(B57:B101)</f>
        <v>0.33333333333333331</v>
      </c>
      <c r="C104" s="65">
        <f t="shared" si="15"/>
        <v>0.17777777777777778</v>
      </c>
      <c r="D104" s="65">
        <f t="shared" si="15"/>
        <v>0.35555555555555557</v>
      </c>
      <c r="E104" s="65">
        <f t="shared" si="15"/>
        <v>0.24444444444444444</v>
      </c>
      <c r="F104" s="65">
        <f t="shared" si="15"/>
        <v>8.8888888888888892E-2</v>
      </c>
      <c r="G104" s="65">
        <f t="shared" si="15"/>
        <v>0.1111111111111111</v>
      </c>
      <c r="H104" s="65">
        <f t="shared" si="15"/>
        <v>6.6666666666666666E-2</v>
      </c>
      <c r="I104" s="65">
        <f t="shared" si="15"/>
        <v>6.6666666666666666E-2</v>
      </c>
      <c r="J104" s="65">
        <f t="shared" si="15"/>
        <v>0.15555555555555556</v>
      </c>
      <c r="K104" s="65">
        <f t="shared" si="15"/>
        <v>0.31111111111111112</v>
      </c>
      <c r="L104" s="65">
        <f t="shared" si="15"/>
        <v>0</v>
      </c>
      <c r="M104" s="65">
        <f t="shared" si="15"/>
        <v>2.2222222222222223E-2</v>
      </c>
    </row>
    <row r="105" spans="1:13" x14ac:dyDescent="0.3">
      <c r="A105" s="55" t="s">
        <v>43</v>
      </c>
      <c r="B105" s="120">
        <f>0%+SUM(B104,C104)</f>
        <v>0.51111111111111107</v>
      </c>
      <c r="C105" s="120"/>
      <c r="D105" s="120">
        <f t="shared" ref="D105" si="16">0%+SUM(D104,E104)</f>
        <v>0.6</v>
      </c>
      <c r="E105" s="120"/>
      <c r="F105" s="120">
        <f t="shared" ref="F105" si="17">0%+SUM(F104,G104)</f>
        <v>0.2</v>
      </c>
      <c r="G105" s="120"/>
      <c r="H105" s="120">
        <f t="shared" ref="H105" si="18">0%+SUM(H104,I104)</f>
        <v>0.13333333333333333</v>
      </c>
      <c r="I105" s="120"/>
      <c r="J105" s="120">
        <f t="shared" ref="J105" si="19">0%+SUM(J104,K104)</f>
        <v>0.46666666666666667</v>
      </c>
      <c r="K105" s="120"/>
      <c r="L105" s="120">
        <f t="shared" ref="L105" si="20">0%+SUM(L104,M104)</f>
        <v>2.2222222222222223E-2</v>
      </c>
      <c r="M105" s="120"/>
    </row>
    <row r="107" spans="1:13" x14ac:dyDescent="0.3">
      <c r="A107" t="s">
        <v>109</v>
      </c>
      <c r="B107">
        <f t="shared" ref="B107:M107" si="21">SUM(B3:B27,B35:B49,B57:B101)</f>
        <v>24</v>
      </c>
      <c r="C107">
        <f t="shared" si="21"/>
        <v>15</v>
      </c>
      <c r="D107">
        <f t="shared" si="21"/>
        <v>24</v>
      </c>
      <c r="E107">
        <f t="shared" si="21"/>
        <v>22</v>
      </c>
      <c r="F107">
        <f t="shared" si="21"/>
        <v>23</v>
      </c>
      <c r="G107">
        <f t="shared" si="21"/>
        <v>13</v>
      </c>
      <c r="H107">
        <f t="shared" si="21"/>
        <v>6</v>
      </c>
      <c r="I107">
        <f t="shared" si="21"/>
        <v>11</v>
      </c>
      <c r="J107">
        <f t="shared" si="21"/>
        <v>8</v>
      </c>
      <c r="K107">
        <f t="shared" si="21"/>
        <v>25</v>
      </c>
      <c r="L107">
        <f t="shared" si="21"/>
        <v>0</v>
      </c>
      <c r="M107">
        <f t="shared" si="21"/>
        <v>2</v>
      </c>
    </row>
    <row r="108" spans="1:13" x14ac:dyDescent="0.3">
      <c r="A108" t="s">
        <v>110</v>
      </c>
      <c r="B108" s="42">
        <f t="shared" ref="B108:M108" si="22">AVERAGE(B3:B27,B35:B49,B57:B101)</f>
        <v>0.28235294117647058</v>
      </c>
      <c r="C108" s="42">
        <f t="shared" si="22"/>
        <v>0.17647058823529413</v>
      </c>
      <c r="D108" s="42">
        <f t="shared" si="22"/>
        <v>0.28235294117647058</v>
      </c>
      <c r="E108" s="42">
        <f t="shared" si="22"/>
        <v>0.25882352941176473</v>
      </c>
      <c r="F108" s="42">
        <f t="shared" si="22"/>
        <v>0.27058823529411763</v>
      </c>
      <c r="G108" s="42">
        <f t="shared" si="22"/>
        <v>0.15294117647058825</v>
      </c>
      <c r="H108" s="42">
        <f t="shared" si="22"/>
        <v>7.0588235294117646E-2</v>
      </c>
      <c r="I108" s="42">
        <f t="shared" si="22"/>
        <v>0.12941176470588237</v>
      </c>
      <c r="J108" s="42">
        <f t="shared" si="22"/>
        <v>9.4117647058823528E-2</v>
      </c>
      <c r="K108" s="42">
        <f t="shared" si="22"/>
        <v>0.29411764705882354</v>
      </c>
      <c r="L108" s="42">
        <f t="shared" si="22"/>
        <v>0</v>
      </c>
      <c r="M108" s="42">
        <f t="shared" si="22"/>
        <v>2.3529411764705882E-2</v>
      </c>
    </row>
    <row r="109" spans="1:13" x14ac:dyDescent="0.3">
      <c r="A109" t="s">
        <v>111</v>
      </c>
      <c r="B109" s="42">
        <f>SUM(B108:C108)</f>
        <v>0.45882352941176474</v>
      </c>
      <c r="D109" s="42">
        <f>SUM(D108:E108)</f>
        <v>0.54117647058823537</v>
      </c>
      <c r="F109" s="42">
        <f>SUM(F108:G108)</f>
        <v>0.42352941176470588</v>
      </c>
      <c r="H109" s="42">
        <f>SUM(H108:I108)</f>
        <v>0.2</v>
      </c>
      <c r="J109" s="42">
        <f>SUM(J108:K108)</f>
        <v>0.38823529411764707</v>
      </c>
      <c r="K109" s="42"/>
      <c r="L109" s="42">
        <f t="shared" ref="L109" si="23">SUM(L108:M108)</f>
        <v>2.3529411764705882E-2</v>
      </c>
      <c r="M109" s="42"/>
    </row>
  </sheetData>
  <mergeCells count="39">
    <mergeCell ref="L31:M31"/>
    <mergeCell ref="B1:M1"/>
    <mergeCell ref="B2:C2"/>
    <mergeCell ref="D2:E2"/>
    <mergeCell ref="F2:G2"/>
    <mergeCell ref="H2:I2"/>
    <mergeCell ref="J2:K2"/>
    <mergeCell ref="L2:M2"/>
    <mergeCell ref="B31:C31"/>
    <mergeCell ref="D31:E31"/>
    <mergeCell ref="F31:G31"/>
    <mergeCell ref="H31:I31"/>
    <mergeCell ref="J31:K31"/>
    <mergeCell ref="L53:M53"/>
    <mergeCell ref="B33:M33"/>
    <mergeCell ref="B34:C34"/>
    <mergeCell ref="D34:E34"/>
    <mergeCell ref="F34:G34"/>
    <mergeCell ref="H34:I34"/>
    <mergeCell ref="J34:K34"/>
    <mergeCell ref="L34:M34"/>
    <mergeCell ref="B53:C53"/>
    <mergeCell ref="D53:E53"/>
    <mergeCell ref="F53:G53"/>
    <mergeCell ref="H53:I53"/>
    <mergeCell ref="J53:K53"/>
    <mergeCell ref="L105:M105"/>
    <mergeCell ref="B55:M55"/>
    <mergeCell ref="B56:C56"/>
    <mergeCell ref="D56:E56"/>
    <mergeCell ref="F56:G56"/>
    <mergeCell ref="H56:I56"/>
    <mergeCell ref="J56:K56"/>
    <mergeCell ref="L56:M56"/>
    <mergeCell ref="B105:C105"/>
    <mergeCell ref="D105:E105"/>
    <mergeCell ref="F105:G105"/>
    <mergeCell ref="H105:I105"/>
    <mergeCell ref="J105:K105"/>
  </mergeCells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S89"/>
  <sheetViews>
    <sheetView topLeftCell="A54" zoomScale="75" workbookViewId="0">
      <selection activeCell="O1" sqref="O1:S30"/>
    </sheetView>
  </sheetViews>
  <sheetFormatPr baseColWidth="12" defaultRowHeight="20" x14ac:dyDescent="0.3"/>
  <cols>
    <col min="1" max="1" width="41.28515625" customWidth="1"/>
    <col min="16" max="16" width="21.5703125" customWidth="1"/>
    <col min="18" max="18" width="25.5703125" customWidth="1"/>
  </cols>
  <sheetData>
    <row r="1" spans="1:19" ht="22" thickTop="1" thickBot="1" x14ac:dyDescent="0.35">
      <c r="A1" s="6" t="s">
        <v>3</v>
      </c>
      <c r="B1" s="123" t="s">
        <v>13</v>
      </c>
      <c r="C1" s="124"/>
      <c r="D1" s="124"/>
      <c r="E1" s="124"/>
      <c r="F1" s="124"/>
      <c r="G1" s="124"/>
      <c r="H1" s="130"/>
      <c r="I1" s="130"/>
      <c r="J1" s="130"/>
      <c r="K1" s="130"/>
      <c r="L1" s="130"/>
      <c r="M1" s="131"/>
      <c r="O1" s="1" t="s">
        <v>169</v>
      </c>
      <c r="P1" s="1" t="s">
        <v>168</v>
      </c>
      <c r="Q1" s="1" t="s">
        <v>170</v>
      </c>
      <c r="R1" s="1" t="s">
        <v>171</v>
      </c>
      <c r="S1" s="1" t="s">
        <v>182</v>
      </c>
    </row>
    <row r="2" spans="1:19" ht="21" thickBot="1" x14ac:dyDescent="0.35">
      <c r="A2" s="87" t="s">
        <v>5</v>
      </c>
      <c r="B2" s="126" t="s">
        <v>199</v>
      </c>
      <c r="C2" s="127"/>
      <c r="D2" s="126" t="s">
        <v>196</v>
      </c>
      <c r="E2" s="127"/>
      <c r="F2" s="126" t="s">
        <v>197</v>
      </c>
      <c r="G2" s="127"/>
      <c r="H2" s="126" t="s">
        <v>198</v>
      </c>
      <c r="I2" s="127"/>
      <c r="J2" s="126"/>
      <c r="K2" s="127"/>
      <c r="L2" s="126"/>
      <c r="M2" s="127"/>
      <c r="O2" s="1">
        <v>1</v>
      </c>
      <c r="P2" s="137" t="s">
        <v>300</v>
      </c>
      <c r="Q2" s="1"/>
      <c r="R2" s="1"/>
    </row>
    <row r="3" spans="1:19" ht="21" thickTop="1" x14ac:dyDescent="0.3">
      <c r="A3" s="33"/>
      <c r="B3" s="8">
        <v>0</v>
      </c>
      <c r="C3" s="15">
        <v>1</v>
      </c>
      <c r="D3" s="17">
        <v>0</v>
      </c>
      <c r="E3" s="15">
        <v>0</v>
      </c>
      <c r="F3" s="89">
        <v>1</v>
      </c>
      <c r="G3" s="90">
        <v>0</v>
      </c>
      <c r="H3" s="91">
        <v>0</v>
      </c>
      <c r="I3" s="91">
        <v>1</v>
      </c>
      <c r="J3" s="89"/>
      <c r="K3" s="89"/>
      <c r="L3" s="91"/>
      <c r="M3" s="92"/>
      <c r="O3" s="1">
        <v>2</v>
      </c>
      <c r="P3" s="137" t="s">
        <v>301</v>
      </c>
      <c r="Q3" s="1"/>
      <c r="R3" s="1"/>
    </row>
    <row r="4" spans="1:19" x14ac:dyDescent="0.3">
      <c r="A4" s="33"/>
      <c r="B4" s="34">
        <v>0</v>
      </c>
      <c r="C4" s="25">
        <v>1</v>
      </c>
      <c r="D4" s="36">
        <v>0</v>
      </c>
      <c r="E4" s="25">
        <v>0</v>
      </c>
      <c r="F4" s="43">
        <v>1</v>
      </c>
      <c r="G4" s="90">
        <v>0</v>
      </c>
      <c r="H4" s="44">
        <v>0</v>
      </c>
      <c r="I4" s="45">
        <v>1</v>
      </c>
      <c r="J4" s="43"/>
      <c r="K4" s="43"/>
      <c r="L4" s="93"/>
      <c r="M4" s="92"/>
      <c r="O4" s="1">
        <v>3</v>
      </c>
      <c r="P4" s="137" t="s">
        <v>302</v>
      </c>
      <c r="Q4" s="1"/>
      <c r="R4" s="1"/>
    </row>
    <row r="5" spans="1:19" x14ac:dyDescent="0.3">
      <c r="A5" s="33" t="s">
        <v>211</v>
      </c>
      <c r="B5" s="94">
        <v>0</v>
      </c>
      <c r="C5" s="25">
        <v>1</v>
      </c>
      <c r="D5" s="26">
        <v>0</v>
      </c>
      <c r="E5" s="25">
        <v>1</v>
      </c>
      <c r="F5" s="47">
        <v>1</v>
      </c>
      <c r="G5" s="90">
        <v>0</v>
      </c>
      <c r="H5" s="48">
        <v>0</v>
      </c>
      <c r="I5" s="49">
        <v>0</v>
      </c>
      <c r="J5" s="43"/>
      <c r="K5" s="90"/>
      <c r="L5" s="93"/>
      <c r="M5" s="92"/>
      <c r="O5" s="1">
        <v>4</v>
      </c>
      <c r="P5" s="137" t="s">
        <v>303</v>
      </c>
      <c r="Q5" s="1"/>
      <c r="R5" s="1"/>
    </row>
    <row r="6" spans="1:19" x14ac:dyDescent="0.3">
      <c r="A6" s="33"/>
      <c r="B6" s="34">
        <v>1</v>
      </c>
      <c r="C6" s="34">
        <v>0</v>
      </c>
      <c r="D6" s="36">
        <v>0</v>
      </c>
      <c r="E6" s="25">
        <v>1</v>
      </c>
      <c r="F6" s="36">
        <v>0</v>
      </c>
      <c r="G6" s="25">
        <v>0</v>
      </c>
      <c r="H6" s="36">
        <v>0</v>
      </c>
      <c r="I6" s="25">
        <v>0</v>
      </c>
      <c r="J6" s="43"/>
      <c r="K6" s="90"/>
      <c r="L6" s="93"/>
      <c r="M6" s="92"/>
      <c r="O6" s="1">
        <v>5</v>
      </c>
      <c r="P6" s="137" t="s">
        <v>304</v>
      </c>
      <c r="Q6" s="1"/>
      <c r="R6" s="1"/>
    </row>
    <row r="7" spans="1:19" x14ac:dyDescent="0.3">
      <c r="A7" s="33" t="s">
        <v>212</v>
      </c>
      <c r="B7" s="34">
        <v>1</v>
      </c>
      <c r="C7" s="34">
        <v>0</v>
      </c>
      <c r="D7" s="26">
        <v>0</v>
      </c>
      <c r="E7" s="25">
        <v>0</v>
      </c>
      <c r="F7" s="26">
        <v>0</v>
      </c>
      <c r="G7" s="25">
        <v>0</v>
      </c>
      <c r="H7" s="26">
        <v>0</v>
      </c>
      <c r="I7" s="25">
        <v>0</v>
      </c>
      <c r="J7" s="43"/>
      <c r="K7" s="90"/>
      <c r="L7" s="93"/>
      <c r="M7" s="92"/>
      <c r="O7" s="1">
        <v>6</v>
      </c>
      <c r="P7" s="137" t="s">
        <v>305</v>
      </c>
      <c r="Q7" s="1"/>
      <c r="R7" s="1"/>
    </row>
    <row r="8" spans="1:19" x14ac:dyDescent="0.3">
      <c r="A8" s="33" t="s">
        <v>213</v>
      </c>
      <c r="B8" s="94">
        <v>1</v>
      </c>
      <c r="C8" s="25">
        <v>0</v>
      </c>
      <c r="D8" s="26">
        <v>0</v>
      </c>
      <c r="E8" s="25">
        <v>1</v>
      </c>
      <c r="F8" s="47">
        <v>0</v>
      </c>
      <c r="G8" s="90">
        <v>0</v>
      </c>
      <c r="H8" s="48">
        <v>0</v>
      </c>
      <c r="I8" s="49">
        <v>0</v>
      </c>
      <c r="J8" s="43"/>
      <c r="K8" s="90"/>
      <c r="L8" s="93"/>
      <c r="M8" s="92"/>
      <c r="O8" s="1">
        <v>7</v>
      </c>
      <c r="P8" s="137" t="s">
        <v>306</v>
      </c>
      <c r="Q8" s="1"/>
      <c r="R8" s="1"/>
    </row>
    <row r="9" spans="1:19" x14ac:dyDescent="0.3">
      <c r="A9" s="33"/>
      <c r="B9" s="34">
        <v>1</v>
      </c>
      <c r="C9" s="34">
        <v>0</v>
      </c>
      <c r="D9" s="36">
        <v>0</v>
      </c>
      <c r="E9" s="25">
        <v>0</v>
      </c>
      <c r="F9" s="36">
        <v>0</v>
      </c>
      <c r="G9" s="25">
        <v>0</v>
      </c>
      <c r="H9" s="36">
        <v>0</v>
      </c>
      <c r="I9" s="25">
        <v>1</v>
      </c>
      <c r="J9" s="36"/>
      <c r="K9" s="25"/>
      <c r="L9" s="36"/>
      <c r="M9" s="25"/>
      <c r="O9" s="1">
        <v>8</v>
      </c>
      <c r="P9" s="137" t="s">
        <v>307</v>
      </c>
      <c r="Q9" s="1"/>
      <c r="R9" s="1"/>
    </row>
    <row r="10" spans="1:19" x14ac:dyDescent="0.3">
      <c r="A10" s="33"/>
      <c r="B10" s="34">
        <v>1</v>
      </c>
      <c r="C10" s="34">
        <v>0</v>
      </c>
      <c r="D10" s="26">
        <v>0</v>
      </c>
      <c r="E10" s="25">
        <v>0</v>
      </c>
      <c r="F10" s="26">
        <v>0</v>
      </c>
      <c r="G10" s="25">
        <v>0</v>
      </c>
      <c r="H10" s="26">
        <v>0</v>
      </c>
      <c r="I10" s="25">
        <v>0</v>
      </c>
      <c r="J10" s="26"/>
      <c r="K10" s="25"/>
      <c r="L10" s="26"/>
      <c r="M10" s="25"/>
      <c r="O10" s="1">
        <v>9</v>
      </c>
      <c r="P10" s="137" t="s">
        <v>308</v>
      </c>
      <c r="Q10" s="1"/>
      <c r="R10" s="1"/>
    </row>
    <row r="11" spans="1:19" ht="21" thickBot="1" x14ac:dyDescent="0.35">
      <c r="A11" s="33"/>
      <c r="B11" s="12">
        <v>1</v>
      </c>
      <c r="C11" s="12">
        <v>0</v>
      </c>
      <c r="D11" s="26">
        <v>0</v>
      </c>
      <c r="E11" s="25">
        <v>1</v>
      </c>
      <c r="F11" s="26">
        <v>0</v>
      </c>
      <c r="G11" s="25">
        <v>0</v>
      </c>
      <c r="H11" s="26">
        <v>0</v>
      </c>
      <c r="I11" s="25">
        <v>0</v>
      </c>
      <c r="J11" s="26"/>
      <c r="K11" s="25"/>
      <c r="L11" s="26"/>
      <c r="M11" s="25"/>
      <c r="O11" s="1">
        <v>10</v>
      </c>
      <c r="P11" s="137" t="s">
        <v>309</v>
      </c>
      <c r="Q11" s="1"/>
      <c r="R11" s="1"/>
    </row>
    <row r="12" spans="1:19" ht="22" thickTop="1" thickBot="1" x14ac:dyDescent="0.35">
      <c r="A12" s="31" t="s">
        <v>33</v>
      </c>
      <c r="B12" s="32">
        <f t="shared" ref="B12:I12" si="0">SUM(B3:B11)</f>
        <v>6</v>
      </c>
      <c r="C12" s="32">
        <f t="shared" si="0"/>
        <v>3</v>
      </c>
      <c r="D12" s="32">
        <f t="shared" si="0"/>
        <v>0</v>
      </c>
      <c r="E12" s="32">
        <f t="shared" si="0"/>
        <v>4</v>
      </c>
      <c r="F12" s="32">
        <f t="shared" si="0"/>
        <v>3</v>
      </c>
      <c r="G12" s="32">
        <f t="shared" si="0"/>
        <v>0</v>
      </c>
      <c r="H12" s="32">
        <f t="shared" si="0"/>
        <v>0</v>
      </c>
      <c r="I12" s="32">
        <f t="shared" si="0"/>
        <v>3</v>
      </c>
      <c r="J12" s="32"/>
      <c r="K12" s="32"/>
      <c r="L12" s="32"/>
      <c r="M12" s="32"/>
      <c r="P12" s="137" t="s">
        <v>310</v>
      </c>
    </row>
    <row r="13" spans="1:19" ht="21" thickTop="1" x14ac:dyDescent="0.3">
      <c r="A13" s="88"/>
      <c r="B13" s="88" t="s">
        <v>35</v>
      </c>
      <c r="C13" s="88" t="s">
        <v>37</v>
      </c>
      <c r="D13" s="88" t="s">
        <v>35</v>
      </c>
      <c r="E13" s="88" t="s">
        <v>37</v>
      </c>
      <c r="F13" s="88" t="s">
        <v>35</v>
      </c>
      <c r="G13" s="88" t="s">
        <v>37</v>
      </c>
      <c r="H13" s="88" t="s">
        <v>35</v>
      </c>
      <c r="I13" s="88" t="s">
        <v>37</v>
      </c>
      <c r="J13" s="88"/>
      <c r="K13" s="88"/>
      <c r="L13" s="88"/>
      <c r="M13" s="88"/>
      <c r="P13" s="137" t="s">
        <v>311</v>
      </c>
    </row>
    <row r="14" spans="1:19" x14ac:dyDescent="0.3">
      <c r="A14" s="41" t="s">
        <v>42</v>
      </c>
      <c r="B14" s="42">
        <f t="shared" ref="B14:I14" si="1">AVERAGE(B3:B11)</f>
        <v>0.66666666666666663</v>
      </c>
      <c r="C14" s="42">
        <f t="shared" si="1"/>
        <v>0.33333333333333331</v>
      </c>
      <c r="D14" s="42">
        <f t="shared" si="1"/>
        <v>0</v>
      </c>
      <c r="E14" s="42">
        <f t="shared" si="1"/>
        <v>0.44444444444444442</v>
      </c>
      <c r="F14" s="42">
        <f t="shared" si="1"/>
        <v>0.33333333333333331</v>
      </c>
      <c r="G14" s="42">
        <f t="shared" si="1"/>
        <v>0</v>
      </c>
      <c r="H14" s="42">
        <f t="shared" si="1"/>
        <v>0</v>
      </c>
      <c r="I14" s="42">
        <f t="shared" si="1"/>
        <v>0.33333333333333331</v>
      </c>
      <c r="J14" s="42"/>
      <c r="K14" s="42"/>
      <c r="L14" s="42"/>
      <c r="M14" s="42"/>
    </row>
    <row r="15" spans="1:19" x14ac:dyDescent="0.3">
      <c r="A15" s="1" t="s">
        <v>44</v>
      </c>
      <c r="B15" s="121">
        <f>SUM(B14,C14)</f>
        <v>1</v>
      </c>
      <c r="C15" s="122"/>
      <c r="D15" s="121">
        <f t="shared" ref="D15" si="2">SUM(D14,E14)</f>
        <v>0.44444444444444442</v>
      </c>
      <c r="E15" s="122"/>
      <c r="F15" s="121">
        <f t="shared" ref="F15" si="3">SUM(F14,G14)</f>
        <v>0.33333333333333331</v>
      </c>
      <c r="G15" s="122"/>
      <c r="H15" s="121">
        <f t="shared" ref="H15" si="4">SUM(H14,I14)</f>
        <v>0.33333333333333331</v>
      </c>
      <c r="I15" s="122"/>
      <c r="J15" s="121"/>
      <c r="K15" s="122"/>
      <c r="L15" s="121"/>
      <c r="M15" s="122"/>
    </row>
    <row r="16" spans="1:19" ht="21" thickBot="1" x14ac:dyDescent="0.35"/>
    <row r="17" spans="1:18" ht="22" thickTop="1" thickBot="1" x14ac:dyDescent="0.35">
      <c r="A17" s="6" t="s">
        <v>61</v>
      </c>
      <c r="B17" s="123" t="s">
        <v>13</v>
      </c>
      <c r="C17" s="124"/>
      <c r="D17" s="124"/>
      <c r="E17" s="124"/>
      <c r="F17" s="124"/>
      <c r="G17" s="124"/>
      <c r="H17" s="124"/>
      <c r="I17" s="124"/>
      <c r="J17" s="124"/>
      <c r="K17" s="124"/>
      <c r="L17" s="124"/>
      <c r="M17" s="125"/>
    </row>
    <row r="18" spans="1:18" ht="21" thickBot="1" x14ac:dyDescent="0.35">
      <c r="A18" s="87" t="s">
        <v>5</v>
      </c>
      <c r="B18" s="126" t="s">
        <v>199</v>
      </c>
      <c r="C18" s="127"/>
      <c r="D18" s="126" t="s">
        <v>196</v>
      </c>
      <c r="E18" s="127"/>
      <c r="F18" s="126" t="s">
        <v>197</v>
      </c>
      <c r="G18" s="127"/>
      <c r="H18" s="126" t="s">
        <v>198</v>
      </c>
      <c r="I18" s="127"/>
      <c r="J18" s="128"/>
      <c r="K18" s="128"/>
      <c r="L18" s="128"/>
      <c r="M18" s="128"/>
      <c r="O18" s="55" t="s">
        <v>296</v>
      </c>
      <c r="P18" s="55" t="s">
        <v>297</v>
      </c>
      <c r="Q18" s="55" t="s">
        <v>298</v>
      </c>
      <c r="R18" s="55" t="s">
        <v>299</v>
      </c>
    </row>
    <row r="19" spans="1:18" ht="21" thickTop="1" x14ac:dyDescent="0.3">
      <c r="A19" s="33" t="s">
        <v>47</v>
      </c>
      <c r="B19" s="8">
        <v>1</v>
      </c>
      <c r="C19" s="15">
        <v>0</v>
      </c>
      <c r="D19" s="17">
        <v>0</v>
      </c>
      <c r="E19" s="15">
        <v>0</v>
      </c>
      <c r="F19" s="89">
        <v>0</v>
      </c>
      <c r="G19" s="90">
        <v>0</v>
      </c>
      <c r="H19" s="91">
        <v>0</v>
      </c>
      <c r="I19" s="91">
        <v>0</v>
      </c>
      <c r="J19" s="8"/>
      <c r="K19" s="8"/>
      <c r="L19" s="8"/>
      <c r="M19" s="8"/>
      <c r="O19" s="55">
        <v>1</v>
      </c>
      <c r="P19" s="137" t="s">
        <v>284</v>
      </c>
      <c r="Q19" s="55"/>
      <c r="R19" s="55"/>
    </row>
    <row r="20" spans="1:18" x14ac:dyDescent="0.3">
      <c r="A20" s="33" t="s">
        <v>200</v>
      </c>
      <c r="B20" s="34">
        <v>0</v>
      </c>
      <c r="C20" s="25">
        <v>0</v>
      </c>
      <c r="D20" s="36">
        <v>0</v>
      </c>
      <c r="E20" s="25">
        <v>0</v>
      </c>
      <c r="F20" s="43">
        <v>1</v>
      </c>
      <c r="G20" s="90">
        <v>0</v>
      </c>
      <c r="H20" s="44">
        <v>0</v>
      </c>
      <c r="I20" s="45">
        <v>0</v>
      </c>
      <c r="J20" s="43"/>
      <c r="K20" s="43"/>
      <c r="L20" s="44"/>
      <c r="M20" s="46"/>
      <c r="O20" s="55">
        <v>2</v>
      </c>
      <c r="P20" s="137" t="s">
        <v>285</v>
      </c>
      <c r="Q20" s="55"/>
      <c r="R20" s="55"/>
    </row>
    <row r="21" spans="1:18" x14ac:dyDescent="0.3">
      <c r="A21" s="33"/>
      <c r="B21" s="12">
        <v>0</v>
      </c>
      <c r="C21" s="25">
        <v>0</v>
      </c>
      <c r="D21" s="26">
        <v>0</v>
      </c>
      <c r="E21" s="25">
        <v>0</v>
      </c>
      <c r="F21" s="47">
        <v>1</v>
      </c>
      <c r="G21" s="90">
        <v>0</v>
      </c>
      <c r="H21" s="48">
        <v>0</v>
      </c>
      <c r="I21" s="49">
        <v>0</v>
      </c>
      <c r="J21" s="43"/>
      <c r="K21" s="18"/>
      <c r="L21" s="48"/>
      <c r="M21" s="50"/>
      <c r="O21" s="55">
        <v>3</v>
      </c>
      <c r="P21" s="137" t="s">
        <v>286</v>
      </c>
      <c r="Q21" s="55"/>
      <c r="R21" s="55"/>
    </row>
    <row r="22" spans="1:18" x14ac:dyDescent="0.3">
      <c r="A22" s="33" t="s">
        <v>201</v>
      </c>
      <c r="B22" s="12">
        <v>1</v>
      </c>
      <c r="C22" s="25">
        <v>0</v>
      </c>
      <c r="D22" s="26">
        <v>0</v>
      </c>
      <c r="E22" s="25">
        <v>1</v>
      </c>
      <c r="F22" s="47">
        <v>0</v>
      </c>
      <c r="G22" s="90">
        <v>0</v>
      </c>
      <c r="H22" s="48">
        <v>0</v>
      </c>
      <c r="I22" s="49">
        <v>0</v>
      </c>
      <c r="J22" s="36"/>
      <c r="K22" s="25"/>
      <c r="L22" s="36"/>
      <c r="M22" s="25"/>
      <c r="O22" s="55">
        <v>4</v>
      </c>
      <c r="P22" s="137" t="s">
        <v>287</v>
      </c>
      <c r="Q22" s="55"/>
      <c r="R22" s="55"/>
    </row>
    <row r="23" spans="1:18" x14ac:dyDescent="0.3">
      <c r="A23" s="33" t="s">
        <v>202</v>
      </c>
      <c r="B23" s="18">
        <v>1</v>
      </c>
      <c r="C23" s="25">
        <v>0</v>
      </c>
      <c r="D23" s="26">
        <v>0</v>
      </c>
      <c r="E23" s="25">
        <v>1</v>
      </c>
      <c r="F23" s="47">
        <v>0</v>
      </c>
      <c r="G23" s="90">
        <v>0</v>
      </c>
      <c r="H23" s="48">
        <v>0</v>
      </c>
      <c r="I23" s="49">
        <v>0</v>
      </c>
      <c r="J23" s="26"/>
      <c r="K23" s="25"/>
      <c r="L23" s="26"/>
      <c r="M23" s="25"/>
      <c r="O23" s="55">
        <v>5</v>
      </c>
      <c r="P23" s="137" t="s">
        <v>288</v>
      </c>
      <c r="Q23" s="55"/>
      <c r="R23" s="55"/>
    </row>
    <row r="24" spans="1:18" x14ac:dyDescent="0.3">
      <c r="A24" s="33"/>
      <c r="B24" s="26">
        <v>0</v>
      </c>
      <c r="C24" s="25">
        <v>0</v>
      </c>
      <c r="D24" s="26">
        <v>1</v>
      </c>
      <c r="E24" s="25">
        <v>0</v>
      </c>
      <c r="F24" s="26">
        <v>0</v>
      </c>
      <c r="G24" s="25">
        <v>0</v>
      </c>
      <c r="H24" s="26">
        <v>0</v>
      </c>
      <c r="I24" s="25">
        <v>0</v>
      </c>
      <c r="J24" s="26"/>
      <c r="K24" s="25"/>
      <c r="L24" s="26"/>
      <c r="M24" s="25"/>
      <c r="O24" s="55">
        <v>6</v>
      </c>
      <c r="P24" s="137" t="s">
        <v>289</v>
      </c>
      <c r="Q24" s="55"/>
      <c r="R24" s="55"/>
    </row>
    <row r="25" spans="1:18" x14ac:dyDescent="0.3">
      <c r="A25" s="33"/>
      <c r="B25" s="26">
        <v>0</v>
      </c>
      <c r="C25" s="25">
        <v>0</v>
      </c>
      <c r="D25" s="26">
        <v>0</v>
      </c>
      <c r="E25" s="25">
        <v>0</v>
      </c>
      <c r="F25" s="26">
        <v>1</v>
      </c>
      <c r="G25" s="25">
        <v>0</v>
      </c>
      <c r="H25" s="26">
        <v>0</v>
      </c>
      <c r="I25" s="25">
        <v>0</v>
      </c>
      <c r="J25" s="26"/>
      <c r="K25" s="25"/>
      <c r="L25" s="26"/>
      <c r="M25" s="25"/>
      <c r="O25" s="55">
        <v>7</v>
      </c>
      <c r="P25" s="137" t="s">
        <v>290</v>
      </c>
      <c r="Q25" s="55"/>
      <c r="R25" s="55"/>
    </row>
    <row r="26" spans="1:18" x14ac:dyDescent="0.3">
      <c r="A26" s="33"/>
      <c r="B26" s="26">
        <v>0</v>
      </c>
      <c r="C26" s="25">
        <v>0</v>
      </c>
      <c r="D26" s="26">
        <v>1</v>
      </c>
      <c r="E26" s="25">
        <v>0</v>
      </c>
      <c r="F26" s="26">
        <v>0</v>
      </c>
      <c r="G26" s="25">
        <v>0</v>
      </c>
      <c r="H26" s="26">
        <v>0</v>
      </c>
      <c r="I26" s="25">
        <v>0</v>
      </c>
      <c r="J26" s="26"/>
      <c r="K26" s="25"/>
      <c r="L26" s="26"/>
      <c r="M26" s="25"/>
      <c r="O26" s="55">
        <v>8</v>
      </c>
      <c r="P26" s="137" t="s">
        <v>291</v>
      </c>
      <c r="Q26" s="55"/>
      <c r="R26" s="55"/>
    </row>
    <row r="27" spans="1:18" x14ac:dyDescent="0.3">
      <c r="A27" s="33" t="s">
        <v>203</v>
      </c>
      <c r="B27" s="36">
        <v>0</v>
      </c>
      <c r="C27" s="25">
        <v>0</v>
      </c>
      <c r="D27" s="26">
        <v>0</v>
      </c>
      <c r="E27" s="25">
        <v>0</v>
      </c>
      <c r="F27" s="36">
        <v>1</v>
      </c>
      <c r="G27" s="25">
        <v>0</v>
      </c>
      <c r="H27" s="26">
        <v>0</v>
      </c>
      <c r="I27" s="25">
        <v>0</v>
      </c>
      <c r="J27" s="36"/>
      <c r="K27" s="25"/>
      <c r="L27" s="36"/>
      <c r="M27" s="25"/>
      <c r="O27" s="55">
        <v>9</v>
      </c>
      <c r="P27" s="137" t="s">
        <v>292</v>
      </c>
      <c r="Q27" s="55"/>
      <c r="R27" s="55"/>
    </row>
    <row r="28" spans="1:18" x14ac:dyDescent="0.3">
      <c r="A28" s="33"/>
      <c r="B28" s="26">
        <v>0</v>
      </c>
      <c r="C28" s="25">
        <v>1</v>
      </c>
      <c r="D28" s="26">
        <v>0</v>
      </c>
      <c r="E28" s="25">
        <v>0</v>
      </c>
      <c r="F28" s="26">
        <v>1</v>
      </c>
      <c r="G28" s="25">
        <v>0</v>
      </c>
      <c r="H28" s="26">
        <v>0</v>
      </c>
      <c r="I28" s="25">
        <v>0</v>
      </c>
      <c r="J28" s="26"/>
      <c r="K28" s="25"/>
      <c r="L28" s="26"/>
      <c r="M28" s="25"/>
      <c r="O28" s="55">
        <v>10</v>
      </c>
      <c r="P28" s="137" t="s">
        <v>293</v>
      </c>
      <c r="Q28" s="55"/>
      <c r="R28" s="55"/>
    </row>
    <row r="29" spans="1:18" x14ac:dyDescent="0.3">
      <c r="A29" s="33" t="s">
        <v>204</v>
      </c>
      <c r="B29" s="26">
        <v>0</v>
      </c>
      <c r="C29" s="25">
        <v>0</v>
      </c>
      <c r="D29" s="26">
        <v>0</v>
      </c>
      <c r="E29" s="25">
        <v>0</v>
      </c>
      <c r="F29" s="26">
        <v>1</v>
      </c>
      <c r="G29" s="25">
        <v>0</v>
      </c>
      <c r="H29" s="26">
        <v>0</v>
      </c>
      <c r="I29" s="25">
        <v>0</v>
      </c>
      <c r="J29" s="26"/>
      <c r="K29" s="25"/>
      <c r="L29" s="26"/>
      <c r="M29" s="25"/>
      <c r="O29" s="135" t="s">
        <v>292</v>
      </c>
      <c r="P29" s="137" t="s">
        <v>294</v>
      </c>
    </row>
    <row r="30" spans="1:18" x14ac:dyDescent="0.3">
      <c r="A30" s="33" t="s">
        <v>205</v>
      </c>
      <c r="B30" s="26">
        <v>0</v>
      </c>
      <c r="C30" s="25">
        <v>0</v>
      </c>
      <c r="D30" s="26">
        <v>0</v>
      </c>
      <c r="E30" s="25">
        <v>0</v>
      </c>
      <c r="F30" s="26">
        <v>1</v>
      </c>
      <c r="G30" s="25">
        <v>0</v>
      </c>
      <c r="H30" s="26">
        <v>0</v>
      </c>
      <c r="I30" s="25">
        <v>0</v>
      </c>
      <c r="J30" s="26"/>
      <c r="K30" s="25"/>
      <c r="L30" s="26"/>
      <c r="M30" s="25"/>
      <c r="O30" s="135" t="s">
        <v>293</v>
      </c>
      <c r="P30" s="137" t="s">
        <v>295</v>
      </c>
    </row>
    <row r="31" spans="1:18" x14ac:dyDescent="0.3">
      <c r="A31" s="33" t="s">
        <v>206</v>
      </c>
      <c r="B31" s="26">
        <v>0</v>
      </c>
      <c r="C31" s="25">
        <v>0</v>
      </c>
      <c r="D31" s="26">
        <v>0</v>
      </c>
      <c r="E31" s="25">
        <v>0</v>
      </c>
      <c r="F31" s="26">
        <v>0</v>
      </c>
      <c r="G31" s="25">
        <v>0</v>
      </c>
      <c r="H31" s="36">
        <v>0</v>
      </c>
      <c r="I31" s="25">
        <v>0</v>
      </c>
      <c r="J31" s="26"/>
      <c r="K31" s="25"/>
      <c r="L31" s="26"/>
      <c r="M31" s="25"/>
      <c r="O31" s="135" t="s">
        <v>294</v>
      </c>
      <c r="P31" s="136"/>
    </row>
    <row r="32" spans="1:18" x14ac:dyDescent="0.3">
      <c r="A32" s="33" t="s">
        <v>207</v>
      </c>
      <c r="B32" s="12">
        <v>0</v>
      </c>
      <c r="C32" s="16">
        <v>0</v>
      </c>
      <c r="D32" s="18">
        <v>0</v>
      </c>
      <c r="E32" s="16">
        <v>0</v>
      </c>
      <c r="F32" s="18">
        <v>1</v>
      </c>
      <c r="G32" s="18">
        <v>0</v>
      </c>
      <c r="H32" s="26">
        <v>0</v>
      </c>
      <c r="I32" s="25">
        <v>0</v>
      </c>
      <c r="J32" s="43"/>
      <c r="K32" s="18"/>
      <c r="L32" s="48"/>
      <c r="M32" s="50"/>
      <c r="O32" s="135" t="s">
        <v>295</v>
      </c>
      <c r="P32" s="136"/>
    </row>
    <row r="33" spans="1:16" x14ac:dyDescent="0.3">
      <c r="A33" s="33"/>
      <c r="B33" s="12">
        <v>1</v>
      </c>
      <c r="C33" s="16">
        <v>0</v>
      </c>
      <c r="D33" s="18">
        <v>0</v>
      </c>
      <c r="E33" s="16">
        <v>0</v>
      </c>
      <c r="F33" s="18">
        <v>0</v>
      </c>
      <c r="G33" s="18">
        <v>0</v>
      </c>
      <c r="H33" s="26">
        <v>0</v>
      </c>
      <c r="I33" s="25">
        <v>0</v>
      </c>
      <c r="J33" s="43"/>
      <c r="K33" s="18"/>
      <c r="L33" s="48"/>
      <c r="M33" s="50"/>
      <c r="P33" s="136"/>
    </row>
    <row r="34" spans="1:16" x14ac:dyDescent="0.3">
      <c r="A34" s="33"/>
      <c r="B34" s="12">
        <v>0</v>
      </c>
      <c r="C34" s="16">
        <v>0</v>
      </c>
      <c r="D34" s="18">
        <v>1</v>
      </c>
      <c r="E34" s="16">
        <v>0</v>
      </c>
      <c r="F34" s="18">
        <v>0</v>
      </c>
      <c r="G34" s="18">
        <v>0</v>
      </c>
      <c r="H34" s="26">
        <v>0</v>
      </c>
      <c r="I34" s="25">
        <v>0</v>
      </c>
      <c r="J34" s="43"/>
      <c r="K34" s="18"/>
      <c r="L34" s="48"/>
      <c r="M34" s="50"/>
      <c r="P34" s="135"/>
    </row>
    <row r="35" spans="1:16" x14ac:dyDescent="0.3">
      <c r="A35" s="33" t="s">
        <v>208</v>
      </c>
      <c r="B35" s="12">
        <v>1</v>
      </c>
      <c r="C35" s="16">
        <v>0</v>
      </c>
      <c r="D35" s="18">
        <v>0</v>
      </c>
      <c r="E35" s="16">
        <v>0</v>
      </c>
      <c r="F35" s="18">
        <v>0</v>
      </c>
      <c r="G35" s="18">
        <v>0</v>
      </c>
      <c r="H35" s="26">
        <v>0</v>
      </c>
      <c r="I35" s="25">
        <v>0</v>
      </c>
      <c r="J35" s="43"/>
      <c r="K35" s="18"/>
      <c r="L35" s="48"/>
      <c r="M35" s="50"/>
    </row>
    <row r="36" spans="1:16" x14ac:dyDescent="0.3">
      <c r="A36" s="33" t="s">
        <v>209</v>
      </c>
      <c r="B36" s="12">
        <v>0</v>
      </c>
      <c r="C36" s="16">
        <v>0</v>
      </c>
      <c r="D36" s="18">
        <v>0</v>
      </c>
      <c r="E36" s="16">
        <v>0</v>
      </c>
      <c r="F36" s="18">
        <v>1</v>
      </c>
      <c r="G36" s="18">
        <v>0</v>
      </c>
      <c r="H36" s="48">
        <v>0</v>
      </c>
      <c r="I36" s="18">
        <v>0</v>
      </c>
      <c r="J36" s="43"/>
      <c r="K36" s="18"/>
      <c r="L36" s="48"/>
      <c r="M36" s="50"/>
    </row>
    <row r="37" spans="1:16" ht="21" thickBot="1" x14ac:dyDescent="0.35">
      <c r="A37" s="33"/>
      <c r="B37" s="12">
        <v>0</v>
      </c>
      <c r="C37" s="16">
        <v>0</v>
      </c>
      <c r="D37" s="18">
        <v>0</v>
      </c>
      <c r="E37" s="16">
        <v>0</v>
      </c>
      <c r="F37" s="18">
        <v>1</v>
      </c>
      <c r="G37" s="18"/>
      <c r="H37" s="48">
        <v>0</v>
      </c>
      <c r="I37" s="18">
        <v>0</v>
      </c>
      <c r="J37" s="43"/>
      <c r="K37" s="18"/>
      <c r="L37" s="48"/>
      <c r="M37" s="50"/>
    </row>
    <row r="38" spans="1:16" ht="22" thickTop="1" thickBot="1" x14ac:dyDescent="0.35">
      <c r="A38" s="31" t="s">
        <v>33</v>
      </c>
      <c r="B38" s="32">
        <f t="shared" ref="B38:I38" si="5">SUM(B19:B37)</f>
        <v>5</v>
      </c>
      <c r="C38" s="32">
        <f t="shared" si="5"/>
        <v>1</v>
      </c>
      <c r="D38" s="32">
        <f t="shared" si="5"/>
        <v>3</v>
      </c>
      <c r="E38" s="32">
        <f t="shared" si="5"/>
        <v>2</v>
      </c>
      <c r="F38" s="32">
        <f t="shared" si="5"/>
        <v>10</v>
      </c>
      <c r="G38" s="32">
        <f t="shared" si="5"/>
        <v>0</v>
      </c>
      <c r="H38" s="32">
        <f t="shared" si="5"/>
        <v>0</v>
      </c>
      <c r="I38" s="32">
        <f t="shared" si="5"/>
        <v>0</v>
      </c>
      <c r="J38" s="32"/>
      <c r="K38" s="32"/>
      <c r="L38" s="32"/>
      <c r="M38" s="32"/>
    </row>
    <row r="39" spans="1:16" ht="21" thickTop="1" x14ac:dyDescent="0.3">
      <c r="A39" s="88"/>
      <c r="B39" s="88" t="s">
        <v>35</v>
      </c>
      <c r="C39" s="88" t="s">
        <v>37</v>
      </c>
      <c r="D39" s="88" t="s">
        <v>35</v>
      </c>
      <c r="E39" s="88" t="s">
        <v>37</v>
      </c>
      <c r="F39" s="88" t="s">
        <v>35</v>
      </c>
      <c r="G39" s="88" t="s">
        <v>37</v>
      </c>
      <c r="H39" s="88" t="s">
        <v>35</v>
      </c>
      <c r="I39" s="88" t="s">
        <v>37</v>
      </c>
      <c r="J39" s="88"/>
      <c r="K39" s="88"/>
      <c r="L39" s="88"/>
      <c r="M39" s="88"/>
    </row>
    <row r="40" spans="1:16" x14ac:dyDescent="0.3">
      <c r="A40" s="41" t="s">
        <v>42</v>
      </c>
      <c r="B40" s="42">
        <f t="shared" ref="B40:I40" si="6">AVERAGE(B19:B37)</f>
        <v>0.26315789473684209</v>
      </c>
      <c r="C40" s="42">
        <f t="shared" si="6"/>
        <v>5.2631578947368418E-2</v>
      </c>
      <c r="D40" s="42">
        <f t="shared" si="6"/>
        <v>0.15789473684210525</v>
      </c>
      <c r="E40" s="42">
        <f t="shared" si="6"/>
        <v>0.10526315789473684</v>
      </c>
      <c r="F40" s="42">
        <f t="shared" si="6"/>
        <v>0.52631578947368418</v>
      </c>
      <c r="G40" s="42">
        <f t="shared" si="6"/>
        <v>0</v>
      </c>
      <c r="H40" s="42">
        <f t="shared" si="6"/>
        <v>0</v>
      </c>
      <c r="I40" s="42">
        <f t="shared" si="6"/>
        <v>0</v>
      </c>
      <c r="J40" s="132" t="s">
        <v>210</v>
      </c>
      <c r="K40" s="133"/>
      <c r="L40" s="133"/>
      <c r="M40" s="133"/>
    </row>
    <row r="41" spans="1:16" x14ac:dyDescent="0.3">
      <c r="A41" s="1" t="s">
        <v>44</v>
      </c>
      <c r="B41" s="121">
        <f>SUM(B40,C40)</f>
        <v>0.31578947368421051</v>
      </c>
      <c r="C41" s="122"/>
      <c r="D41" s="121">
        <f t="shared" ref="D41" si="7">SUM(D40,E40)</f>
        <v>0.26315789473684209</v>
      </c>
      <c r="E41" s="122"/>
      <c r="F41" s="121">
        <f t="shared" ref="F41" si="8">SUM(F40,G40)</f>
        <v>0.52631578947368418</v>
      </c>
      <c r="G41" s="122"/>
      <c r="H41" s="121">
        <f t="shared" ref="H41" si="9">SUM(H40,I40)</f>
        <v>0</v>
      </c>
      <c r="I41" s="122"/>
      <c r="J41" s="121"/>
      <c r="K41" s="122"/>
      <c r="L41" s="121"/>
      <c r="M41" s="122"/>
    </row>
    <row r="42" spans="1:16" ht="21" thickBot="1" x14ac:dyDescent="0.35"/>
    <row r="43" spans="1:16" ht="22" thickTop="1" thickBot="1" x14ac:dyDescent="0.35">
      <c r="A43" s="54" t="s">
        <v>60</v>
      </c>
      <c r="B43" s="116" t="s">
        <v>12</v>
      </c>
      <c r="C43" s="117"/>
      <c r="D43" s="117"/>
      <c r="E43" s="117"/>
      <c r="F43" s="117"/>
      <c r="G43" s="117"/>
      <c r="H43" s="117"/>
      <c r="I43" s="117"/>
      <c r="J43" s="117"/>
      <c r="K43" s="117"/>
      <c r="L43" s="117"/>
      <c r="M43" s="118"/>
    </row>
    <row r="44" spans="1:16" ht="21" thickBot="1" x14ac:dyDescent="0.35">
      <c r="A44" s="56" t="s">
        <v>4</v>
      </c>
      <c r="B44" s="126" t="s">
        <v>199</v>
      </c>
      <c r="C44" s="127"/>
      <c r="D44" s="126" t="s">
        <v>196</v>
      </c>
      <c r="E44" s="127"/>
      <c r="F44" s="126" t="s">
        <v>197</v>
      </c>
      <c r="G44" s="127"/>
      <c r="H44" s="126" t="s">
        <v>198</v>
      </c>
      <c r="I44" s="127"/>
      <c r="J44" s="128"/>
      <c r="K44" s="128"/>
      <c r="L44" s="128"/>
      <c r="M44" s="128"/>
    </row>
    <row r="45" spans="1:16" ht="21" thickTop="1" x14ac:dyDescent="0.3">
      <c r="A45" s="58" t="s">
        <v>214</v>
      </c>
      <c r="B45" s="59">
        <v>0</v>
      </c>
      <c r="C45" s="59">
        <v>0</v>
      </c>
      <c r="D45" s="59">
        <v>1</v>
      </c>
      <c r="E45" s="59">
        <v>0</v>
      </c>
      <c r="F45" s="59">
        <v>0</v>
      </c>
      <c r="G45" s="59">
        <v>0</v>
      </c>
      <c r="H45" s="59">
        <v>0</v>
      </c>
      <c r="I45" s="59">
        <v>0</v>
      </c>
      <c r="J45" s="59"/>
      <c r="K45" s="59"/>
      <c r="L45" s="59"/>
      <c r="M45" s="59"/>
    </row>
    <row r="46" spans="1:16" x14ac:dyDescent="0.3">
      <c r="A46" s="58"/>
      <c r="B46" s="59">
        <v>0</v>
      </c>
      <c r="C46" s="60">
        <v>0</v>
      </c>
      <c r="D46" s="59">
        <v>1</v>
      </c>
      <c r="E46" s="60">
        <v>0</v>
      </c>
      <c r="F46" s="69">
        <v>0</v>
      </c>
      <c r="G46" s="69">
        <v>0</v>
      </c>
      <c r="H46" s="70">
        <v>0</v>
      </c>
      <c r="I46" s="71">
        <v>0</v>
      </c>
      <c r="J46" s="69"/>
      <c r="K46" s="69"/>
      <c r="L46" s="70"/>
      <c r="M46" s="72"/>
    </row>
    <row r="47" spans="1:16" x14ac:dyDescent="0.3">
      <c r="A47" s="58"/>
      <c r="B47" s="59">
        <v>0</v>
      </c>
      <c r="C47" s="60">
        <v>0</v>
      </c>
      <c r="D47" s="59">
        <v>1</v>
      </c>
      <c r="E47" s="60">
        <v>0</v>
      </c>
      <c r="F47" s="69">
        <v>0</v>
      </c>
      <c r="G47" s="69">
        <v>0</v>
      </c>
      <c r="H47" s="70">
        <v>0</v>
      </c>
      <c r="I47" s="71">
        <v>0</v>
      </c>
      <c r="J47" s="69"/>
      <c r="K47" s="69"/>
      <c r="L47" s="70"/>
      <c r="M47" s="72"/>
    </row>
    <row r="48" spans="1:16" x14ac:dyDescent="0.3">
      <c r="A48" s="58" t="s">
        <v>215</v>
      </c>
      <c r="B48" s="59">
        <v>0</v>
      </c>
      <c r="C48" s="60">
        <v>0</v>
      </c>
      <c r="D48" s="59">
        <v>1</v>
      </c>
      <c r="E48" s="60">
        <v>0</v>
      </c>
      <c r="F48" s="69">
        <v>0</v>
      </c>
      <c r="G48" s="69">
        <v>0</v>
      </c>
      <c r="H48" s="70">
        <v>0</v>
      </c>
      <c r="I48" s="71">
        <v>0</v>
      </c>
      <c r="J48" s="69"/>
      <c r="K48" s="69"/>
      <c r="L48" s="70"/>
      <c r="M48" s="72"/>
    </row>
    <row r="49" spans="1:13" x14ac:dyDescent="0.3">
      <c r="A49" s="58"/>
      <c r="B49" s="59">
        <v>0</v>
      </c>
      <c r="C49" s="60">
        <v>0</v>
      </c>
      <c r="D49" s="59">
        <v>1</v>
      </c>
      <c r="E49" s="60">
        <v>0</v>
      </c>
      <c r="F49" s="69">
        <v>0</v>
      </c>
      <c r="G49" s="69">
        <v>0</v>
      </c>
      <c r="H49" s="70">
        <v>0</v>
      </c>
      <c r="I49" s="71">
        <v>0</v>
      </c>
      <c r="J49" s="69"/>
      <c r="K49" s="69"/>
      <c r="L49" s="70"/>
      <c r="M49" s="72"/>
    </row>
    <row r="50" spans="1:13" x14ac:dyDescent="0.3">
      <c r="A50" s="58" t="s">
        <v>216</v>
      </c>
      <c r="B50" s="59">
        <v>0</v>
      </c>
      <c r="C50" s="60">
        <v>0</v>
      </c>
      <c r="D50" s="59">
        <v>1</v>
      </c>
      <c r="E50" s="60">
        <v>0</v>
      </c>
      <c r="F50" s="69">
        <v>0</v>
      </c>
      <c r="G50" s="69">
        <v>0</v>
      </c>
      <c r="H50" s="70">
        <v>0</v>
      </c>
      <c r="I50" s="71">
        <v>0</v>
      </c>
      <c r="J50" s="69"/>
      <c r="K50" s="69"/>
      <c r="L50" s="70"/>
      <c r="M50" s="72"/>
    </row>
    <row r="51" spans="1:13" x14ac:dyDescent="0.3">
      <c r="A51" s="58" t="s">
        <v>217</v>
      </c>
      <c r="B51" s="59">
        <v>0</v>
      </c>
      <c r="C51" s="60">
        <v>0</v>
      </c>
      <c r="D51" s="59">
        <v>1</v>
      </c>
      <c r="E51" s="60">
        <v>0</v>
      </c>
      <c r="F51" s="69">
        <v>0</v>
      </c>
      <c r="G51" s="69">
        <v>0</v>
      </c>
      <c r="H51" s="70">
        <v>0</v>
      </c>
      <c r="I51" s="71">
        <v>0</v>
      </c>
      <c r="J51" s="69"/>
      <c r="K51" s="69"/>
      <c r="L51" s="70"/>
      <c r="M51" s="72"/>
    </row>
    <row r="52" spans="1:13" x14ac:dyDescent="0.3">
      <c r="A52" s="58"/>
      <c r="B52" s="59">
        <v>0</v>
      </c>
      <c r="C52" s="60">
        <v>0</v>
      </c>
      <c r="D52" s="59">
        <v>1</v>
      </c>
      <c r="E52" s="60">
        <v>0</v>
      </c>
      <c r="F52" s="69">
        <v>0</v>
      </c>
      <c r="G52" s="69">
        <v>0</v>
      </c>
      <c r="H52" s="70">
        <v>0</v>
      </c>
      <c r="I52" s="71">
        <v>0</v>
      </c>
      <c r="J52" s="69"/>
      <c r="K52" s="69"/>
      <c r="L52" s="70"/>
      <c r="M52" s="72"/>
    </row>
    <row r="53" spans="1:13" x14ac:dyDescent="0.3">
      <c r="A53" s="58"/>
      <c r="B53" s="59">
        <v>0</v>
      </c>
      <c r="C53" s="60">
        <v>0</v>
      </c>
      <c r="D53" s="59">
        <v>1</v>
      </c>
      <c r="E53" s="60">
        <v>0</v>
      </c>
      <c r="F53" s="69">
        <v>0</v>
      </c>
      <c r="G53" s="69">
        <v>0</v>
      </c>
      <c r="H53" s="70">
        <v>0</v>
      </c>
      <c r="I53" s="71">
        <v>0</v>
      </c>
      <c r="J53" s="69"/>
      <c r="K53" s="69"/>
      <c r="L53" s="70"/>
      <c r="M53" s="72"/>
    </row>
    <row r="54" spans="1:13" x14ac:dyDescent="0.3">
      <c r="A54" s="58" t="s">
        <v>218</v>
      </c>
      <c r="B54" s="59">
        <v>0</v>
      </c>
      <c r="C54" s="60">
        <v>0</v>
      </c>
      <c r="D54" s="59">
        <v>1</v>
      </c>
      <c r="E54" s="60">
        <v>0</v>
      </c>
      <c r="F54" s="69">
        <v>0</v>
      </c>
      <c r="G54" s="69">
        <v>0</v>
      </c>
      <c r="H54" s="70">
        <v>0</v>
      </c>
      <c r="I54" s="71">
        <v>0</v>
      </c>
      <c r="J54" s="69"/>
      <c r="K54" s="69"/>
      <c r="L54" s="70"/>
      <c r="M54" s="72"/>
    </row>
    <row r="55" spans="1:13" x14ac:dyDescent="0.3">
      <c r="A55" s="58"/>
      <c r="B55" s="59">
        <v>0</v>
      </c>
      <c r="C55" s="60">
        <v>0</v>
      </c>
      <c r="D55" s="59">
        <v>1</v>
      </c>
      <c r="E55" s="60">
        <v>0</v>
      </c>
      <c r="F55" s="69">
        <v>0</v>
      </c>
      <c r="G55" s="69">
        <v>0</v>
      </c>
      <c r="H55" s="70">
        <v>0</v>
      </c>
      <c r="I55" s="71">
        <v>0</v>
      </c>
      <c r="J55" s="69"/>
      <c r="K55" s="69"/>
      <c r="L55" s="70"/>
      <c r="M55" s="72"/>
    </row>
    <row r="56" spans="1:13" x14ac:dyDescent="0.3">
      <c r="A56" s="58"/>
      <c r="B56" s="59">
        <v>0</v>
      </c>
      <c r="C56" s="60">
        <v>0</v>
      </c>
      <c r="D56" s="59">
        <v>1</v>
      </c>
      <c r="E56" s="60">
        <v>0</v>
      </c>
      <c r="F56" s="69">
        <v>0</v>
      </c>
      <c r="G56" s="69">
        <v>0</v>
      </c>
      <c r="H56" s="60">
        <v>0</v>
      </c>
      <c r="I56" s="60">
        <v>0</v>
      </c>
      <c r="J56" s="60"/>
      <c r="K56" s="60"/>
      <c r="L56" s="60"/>
      <c r="M56" s="72"/>
    </row>
    <row r="57" spans="1:13" x14ac:dyDescent="0.3">
      <c r="A57" s="58" t="s">
        <v>219</v>
      </c>
      <c r="B57" s="59">
        <v>0</v>
      </c>
      <c r="C57" s="60">
        <v>0</v>
      </c>
      <c r="D57" s="59">
        <v>1</v>
      </c>
      <c r="E57" s="76">
        <v>0</v>
      </c>
      <c r="F57" s="69">
        <v>0</v>
      </c>
      <c r="G57" s="69">
        <v>0</v>
      </c>
      <c r="H57" s="75">
        <v>0</v>
      </c>
      <c r="I57" s="76">
        <v>0</v>
      </c>
      <c r="J57" s="59"/>
      <c r="K57" s="59"/>
      <c r="L57" s="75"/>
      <c r="M57" s="84"/>
    </row>
    <row r="58" spans="1:13" x14ac:dyDescent="0.3">
      <c r="A58" s="58" t="s">
        <v>220</v>
      </c>
      <c r="B58" s="59">
        <v>0</v>
      </c>
      <c r="C58" s="60">
        <v>0</v>
      </c>
      <c r="D58" s="59">
        <v>1</v>
      </c>
      <c r="E58" s="60">
        <v>0</v>
      </c>
      <c r="F58" s="69">
        <v>0</v>
      </c>
      <c r="G58" s="69">
        <v>0</v>
      </c>
      <c r="H58" s="77">
        <v>0</v>
      </c>
      <c r="I58" s="60">
        <v>0</v>
      </c>
      <c r="J58" s="59"/>
      <c r="K58" s="59"/>
      <c r="L58" s="77"/>
      <c r="M58" s="85"/>
    </row>
    <row r="59" spans="1:13" x14ac:dyDescent="0.3">
      <c r="A59" s="58"/>
      <c r="B59" s="59">
        <v>0</v>
      </c>
      <c r="C59" s="60">
        <v>0</v>
      </c>
      <c r="D59" s="59">
        <v>1</v>
      </c>
      <c r="E59" s="60">
        <v>0</v>
      </c>
      <c r="F59" s="69">
        <v>0</v>
      </c>
      <c r="G59" s="69">
        <v>0</v>
      </c>
      <c r="H59" s="77">
        <v>0</v>
      </c>
      <c r="I59" s="60">
        <v>0</v>
      </c>
      <c r="J59" s="59"/>
      <c r="K59" s="59"/>
      <c r="L59" s="77"/>
      <c r="M59" s="85"/>
    </row>
    <row r="60" spans="1:13" x14ac:dyDescent="0.3">
      <c r="A60" s="58" t="s">
        <v>221</v>
      </c>
      <c r="B60" s="59">
        <v>0</v>
      </c>
      <c r="C60" s="60">
        <v>0</v>
      </c>
      <c r="D60" s="59">
        <v>1</v>
      </c>
      <c r="E60" s="60">
        <v>0</v>
      </c>
      <c r="F60" s="69">
        <v>0</v>
      </c>
      <c r="G60" s="69">
        <v>0</v>
      </c>
      <c r="H60" s="77">
        <v>0</v>
      </c>
      <c r="I60" s="60">
        <v>0</v>
      </c>
      <c r="J60" s="59"/>
      <c r="K60" s="59"/>
      <c r="L60" s="77"/>
      <c r="M60" s="85"/>
    </row>
    <row r="61" spans="1:13" x14ac:dyDescent="0.3">
      <c r="A61" s="58"/>
      <c r="B61" s="59">
        <v>0</v>
      </c>
      <c r="C61" s="60">
        <v>0</v>
      </c>
      <c r="D61" s="59">
        <v>1</v>
      </c>
      <c r="E61" s="60">
        <v>0</v>
      </c>
      <c r="F61" s="69">
        <v>0</v>
      </c>
      <c r="G61" s="69">
        <v>0</v>
      </c>
      <c r="H61" s="77">
        <v>0</v>
      </c>
      <c r="I61" s="60">
        <v>0</v>
      </c>
      <c r="J61" s="59"/>
      <c r="K61" s="59"/>
      <c r="L61" s="77"/>
      <c r="M61" s="85"/>
    </row>
    <row r="62" spans="1:13" x14ac:dyDescent="0.3">
      <c r="A62" s="58" t="s">
        <v>212</v>
      </c>
      <c r="B62" s="59">
        <v>0</v>
      </c>
      <c r="C62" s="60">
        <v>0</v>
      </c>
      <c r="D62" s="59">
        <v>1</v>
      </c>
      <c r="E62" s="60">
        <v>0</v>
      </c>
      <c r="F62" s="69">
        <v>0</v>
      </c>
      <c r="G62" s="69">
        <v>0</v>
      </c>
      <c r="H62" s="77">
        <v>0</v>
      </c>
      <c r="I62" s="60">
        <v>0</v>
      </c>
      <c r="J62" s="59"/>
      <c r="K62" s="59"/>
      <c r="L62" s="77"/>
      <c r="M62" s="85"/>
    </row>
    <row r="63" spans="1:13" x14ac:dyDescent="0.3">
      <c r="A63" s="58"/>
      <c r="B63" s="59">
        <v>0</v>
      </c>
      <c r="C63" s="60">
        <v>0</v>
      </c>
      <c r="D63" s="59">
        <v>1</v>
      </c>
      <c r="E63" s="60">
        <v>0</v>
      </c>
      <c r="F63" s="69">
        <v>0</v>
      </c>
      <c r="G63" s="69">
        <v>0</v>
      </c>
      <c r="H63" s="77">
        <v>0</v>
      </c>
      <c r="I63" s="60">
        <v>0</v>
      </c>
      <c r="J63" s="59"/>
      <c r="K63" s="59"/>
      <c r="L63" s="77"/>
      <c r="M63" s="85"/>
    </row>
    <row r="64" spans="1:13" x14ac:dyDescent="0.3">
      <c r="A64" s="58"/>
      <c r="B64" s="59">
        <v>0</v>
      </c>
      <c r="C64" s="60">
        <v>0</v>
      </c>
      <c r="D64" s="59">
        <v>1</v>
      </c>
      <c r="E64" s="60">
        <v>0</v>
      </c>
      <c r="F64" s="69">
        <v>0</v>
      </c>
      <c r="G64" s="69">
        <v>0</v>
      </c>
      <c r="H64" s="77">
        <v>0</v>
      </c>
      <c r="I64" s="60">
        <v>0</v>
      </c>
      <c r="J64" s="59"/>
      <c r="K64" s="59"/>
      <c r="L64" s="77"/>
      <c r="M64" s="85"/>
    </row>
    <row r="65" spans="1:13" x14ac:dyDescent="0.3">
      <c r="A65" s="58" t="s">
        <v>213</v>
      </c>
      <c r="B65" s="59">
        <v>0</v>
      </c>
      <c r="C65" s="60">
        <v>0</v>
      </c>
      <c r="D65" s="59">
        <v>1</v>
      </c>
      <c r="E65" s="60">
        <v>0</v>
      </c>
      <c r="F65" s="69">
        <v>0</v>
      </c>
      <c r="G65" s="69">
        <v>0</v>
      </c>
      <c r="H65" s="77">
        <v>0</v>
      </c>
      <c r="I65" s="60">
        <v>0</v>
      </c>
      <c r="J65" s="59"/>
      <c r="K65" s="59"/>
      <c r="L65" s="77"/>
      <c r="M65" s="85"/>
    </row>
    <row r="66" spans="1:13" x14ac:dyDescent="0.3">
      <c r="A66" s="58"/>
      <c r="B66" s="59">
        <v>0</v>
      </c>
      <c r="C66" s="60">
        <v>0</v>
      </c>
      <c r="D66" s="59">
        <v>1</v>
      </c>
      <c r="E66" s="60">
        <v>0</v>
      </c>
      <c r="F66" s="69">
        <v>0</v>
      </c>
      <c r="G66" s="69">
        <v>0</v>
      </c>
      <c r="H66" s="77">
        <v>0</v>
      </c>
      <c r="I66" s="60">
        <v>0</v>
      </c>
      <c r="J66" s="59"/>
      <c r="K66" s="59"/>
      <c r="L66" s="77"/>
      <c r="M66" s="85"/>
    </row>
    <row r="67" spans="1:13" x14ac:dyDescent="0.3">
      <c r="A67" s="58"/>
      <c r="B67" s="59">
        <v>0</v>
      </c>
      <c r="C67" s="60">
        <v>0</v>
      </c>
      <c r="D67" s="59">
        <v>1</v>
      </c>
      <c r="E67" s="60">
        <v>0</v>
      </c>
      <c r="F67" s="69">
        <v>0</v>
      </c>
      <c r="G67" s="69">
        <v>0</v>
      </c>
      <c r="H67" s="77">
        <v>0</v>
      </c>
      <c r="I67" s="60">
        <v>0</v>
      </c>
      <c r="J67" s="59"/>
      <c r="K67" s="59"/>
      <c r="L67" s="77"/>
      <c r="M67" s="85"/>
    </row>
    <row r="68" spans="1:13" x14ac:dyDescent="0.3">
      <c r="A68" s="58" t="s">
        <v>222</v>
      </c>
      <c r="B68" s="59">
        <v>0</v>
      </c>
      <c r="C68" s="60">
        <v>1</v>
      </c>
      <c r="D68" s="59">
        <v>1</v>
      </c>
      <c r="E68" s="60">
        <v>0</v>
      </c>
      <c r="F68" s="69">
        <v>0</v>
      </c>
      <c r="G68" s="69">
        <v>0</v>
      </c>
      <c r="H68" s="77">
        <v>0</v>
      </c>
      <c r="I68" s="60">
        <v>0</v>
      </c>
      <c r="J68" s="59"/>
      <c r="K68" s="59"/>
      <c r="L68" s="77"/>
      <c r="M68" s="85"/>
    </row>
    <row r="69" spans="1:13" x14ac:dyDescent="0.3">
      <c r="A69" s="58"/>
      <c r="B69" s="59">
        <v>0</v>
      </c>
      <c r="C69" s="60">
        <v>0</v>
      </c>
      <c r="D69" s="77">
        <v>1</v>
      </c>
      <c r="E69" s="60">
        <v>0</v>
      </c>
      <c r="F69" s="69">
        <v>0</v>
      </c>
      <c r="G69" s="69">
        <v>0</v>
      </c>
      <c r="H69" s="77">
        <v>0</v>
      </c>
      <c r="I69" s="60">
        <v>0</v>
      </c>
      <c r="J69" s="59"/>
      <c r="K69" s="59"/>
      <c r="L69" s="77"/>
      <c r="M69" s="85"/>
    </row>
    <row r="70" spans="1:13" x14ac:dyDescent="0.3">
      <c r="A70" s="58"/>
      <c r="B70" s="59">
        <v>0</v>
      </c>
      <c r="C70" s="60">
        <v>0</v>
      </c>
      <c r="D70" s="77">
        <v>1</v>
      </c>
      <c r="E70" s="60">
        <v>0</v>
      </c>
      <c r="F70" s="69">
        <v>0</v>
      </c>
      <c r="G70" s="69">
        <v>0</v>
      </c>
      <c r="H70" s="77">
        <v>0</v>
      </c>
      <c r="I70" s="60">
        <v>0</v>
      </c>
      <c r="J70" s="59"/>
      <c r="K70" s="59"/>
      <c r="L70" s="77"/>
      <c r="M70" s="85"/>
    </row>
    <row r="71" spans="1:13" x14ac:dyDescent="0.3">
      <c r="A71" s="58" t="s">
        <v>223</v>
      </c>
      <c r="B71" s="59">
        <v>0</v>
      </c>
      <c r="C71" s="60">
        <v>0</v>
      </c>
      <c r="D71" s="77">
        <v>1</v>
      </c>
      <c r="E71" s="60">
        <v>0</v>
      </c>
      <c r="F71" s="69">
        <v>0</v>
      </c>
      <c r="G71" s="69">
        <v>0</v>
      </c>
      <c r="H71" s="77">
        <v>0</v>
      </c>
      <c r="I71" s="60">
        <v>0</v>
      </c>
      <c r="J71" s="59"/>
      <c r="K71" s="59"/>
      <c r="L71" s="77"/>
      <c r="M71" s="85"/>
    </row>
    <row r="72" spans="1:13" x14ac:dyDescent="0.3">
      <c r="A72" s="58"/>
      <c r="B72" s="59">
        <v>0</v>
      </c>
      <c r="C72" s="60">
        <v>0</v>
      </c>
      <c r="D72" s="77">
        <v>1</v>
      </c>
      <c r="E72" s="60">
        <v>0</v>
      </c>
      <c r="F72" s="69">
        <v>0</v>
      </c>
      <c r="G72" s="69">
        <v>0</v>
      </c>
      <c r="H72" s="77">
        <v>0</v>
      </c>
      <c r="I72" s="60">
        <v>0</v>
      </c>
      <c r="J72" s="59"/>
      <c r="K72" s="59"/>
      <c r="L72" s="77"/>
      <c r="M72" s="85"/>
    </row>
    <row r="73" spans="1:13" x14ac:dyDescent="0.3">
      <c r="A73" s="58"/>
      <c r="B73" s="59">
        <v>0</v>
      </c>
      <c r="C73" s="60">
        <v>0</v>
      </c>
      <c r="D73" s="77">
        <v>1</v>
      </c>
      <c r="E73" s="60">
        <v>0</v>
      </c>
      <c r="F73" s="69">
        <v>0</v>
      </c>
      <c r="G73" s="69">
        <v>0</v>
      </c>
      <c r="H73" s="77">
        <v>0</v>
      </c>
      <c r="I73" s="60">
        <v>0</v>
      </c>
      <c r="J73" s="59"/>
      <c r="K73" s="59"/>
      <c r="L73" s="77"/>
      <c r="M73" s="85"/>
    </row>
    <row r="74" spans="1:13" x14ac:dyDescent="0.3">
      <c r="A74" s="58" t="s">
        <v>224</v>
      </c>
      <c r="B74" s="59">
        <v>0</v>
      </c>
      <c r="C74" s="60">
        <v>0</v>
      </c>
      <c r="D74" s="77">
        <v>1</v>
      </c>
      <c r="E74" s="60">
        <v>0</v>
      </c>
      <c r="F74" s="69">
        <v>0</v>
      </c>
      <c r="G74" s="69">
        <v>0</v>
      </c>
      <c r="H74" s="77">
        <v>0</v>
      </c>
      <c r="I74" s="60">
        <v>0</v>
      </c>
      <c r="J74" s="59"/>
      <c r="K74" s="59"/>
      <c r="L74" s="77"/>
      <c r="M74" s="85"/>
    </row>
    <row r="75" spans="1:13" x14ac:dyDescent="0.3">
      <c r="A75" s="58"/>
      <c r="B75" s="59">
        <v>0</v>
      </c>
      <c r="C75" s="60">
        <v>0</v>
      </c>
      <c r="D75" s="77">
        <v>1</v>
      </c>
      <c r="E75" s="60">
        <v>0</v>
      </c>
      <c r="F75" s="69">
        <v>0</v>
      </c>
      <c r="G75" s="69">
        <v>0</v>
      </c>
      <c r="H75" s="77">
        <v>0</v>
      </c>
      <c r="I75" s="60">
        <v>0</v>
      </c>
      <c r="J75" s="59"/>
      <c r="K75" s="59"/>
      <c r="L75" s="77"/>
      <c r="M75" s="85"/>
    </row>
    <row r="76" spans="1:13" x14ac:dyDescent="0.3">
      <c r="A76" s="58"/>
      <c r="B76" s="59">
        <v>0</v>
      </c>
      <c r="C76" s="60">
        <v>0</v>
      </c>
      <c r="D76" s="77">
        <v>1</v>
      </c>
      <c r="E76" s="60">
        <v>0</v>
      </c>
      <c r="F76" s="69">
        <v>0</v>
      </c>
      <c r="G76" s="69">
        <v>0</v>
      </c>
      <c r="H76" s="77">
        <v>0</v>
      </c>
      <c r="I76" s="60">
        <v>0</v>
      </c>
      <c r="J76" s="59"/>
      <c r="K76" s="59"/>
      <c r="L76" s="77"/>
      <c r="M76" s="85"/>
    </row>
    <row r="77" spans="1:13" x14ac:dyDescent="0.3">
      <c r="A77" s="58"/>
      <c r="B77" s="59">
        <v>0</v>
      </c>
      <c r="C77" s="60">
        <v>0</v>
      </c>
      <c r="D77" s="77">
        <v>1</v>
      </c>
      <c r="E77" s="60">
        <v>0</v>
      </c>
      <c r="F77" s="69">
        <v>0</v>
      </c>
      <c r="G77" s="69">
        <v>0</v>
      </c>
      <c r="H77" s="77">
        <v>0</v>
      </c>
      <c r="I77" s="60">
        <v>0</v>
      </c>
      <c r="J77" s="59"/>
      <c r="K77" s="59"/>
      <c r="L77" s="77"/>
      <c r="M77" s="85"/>
    </row>
    <row r="78" spans="1:13" x14ac:dyDescent="0.3">
      <c r="A78" s="58"/>
      <c r="B78" s="59">
        <v>0</v>
      </c>
      <c r="C78" s="60">
        <v>1</v>
      </c>
      <c r="D78" s="77">
        <v>1</v>
      </c>
      <c r="E78" s="60">
        <v>0</v>
      </c>
      <c r="F78" s="69">
        <v>0</v>
      </c>
      <c r="G78" s="69">
        <v>0</v>
      </c>
      <c r="H78" s="77">
        <v>0</v>
      </c>
      <c r="I78" s="60">
        <v>0</v>
      </c>
      <c r="J78" s="59"/>
      <c r="K78" s="59"/>
      <c r="L78" s="77"/>
      <c r="M78" s="85"/>
    </row>
    <row r="79" spans="1:13" x14ac:dyDescent="0.3">
      <c r="A79" s="58"/>
      <c r="B79" s="59">
        <v>0</v>
      </c>
      <c r="C79" s="60">
        <v>1</v>
      </c>
      <c r="D79" s="77">
        <v>1</v>
      </c>
      <c r="E79" s="60">
        <v>0</v>
      </c>
      <c r="F79" s="69">
        <v>0</v>
      </c>
      <c r="G79" s="69">
        <v>0</v>
      </c>
      <c r="H79" s="77">
        <v>0</v>
      </c>
      <c r="I79" s="60">
        <v>0</v>
      </c>
      <c r="J79" s="59"/>
      <c r="K79" s="59"/>
      <c r="L79" s="77"/>
      <c r="M79" s="85"/>
    </row>
    <row r="80" spans="1:13" x14ac:dyDescent="0.3">
      <c r="A80" s="58" t="s">
        <v>225</v>
      </c>
      <c r="B80" s="59">
        <v>0</v>
      </c>
      <c r="C80" s="60">
        <v>0</v>
      </c>
      <c r="D80" s="77">
        <v>1</v>
      </c>
      <c r="E80" s="60">
        <v>0</v>
      </c>
      <c r="F80" s="69">
        <v>0</v>
      </c>
      <c r="G80" s="69">
        <v>0</v>
      </c>
      <c r="H80" s="77">
        <v>0</v>
      </c>
      <c r="I80" s="60">
        <v>0</v>
      </c>
      <c r="J80" s="59"/>
      <c r="K80" s="59"/>
      <c r="L80" s="77"/>
      <c r="M80" s="85"/>
    </row>
    <row r="81" spans="1:13" ht="21" thickBot="1" x14ac:dyDescent="0.35">
      <c r="A81" s="58"/>
      <c r="B81" s="59">
        <v>0</v>
      </c>
      <c r="C81" s="60">
        <v>0</v>
      </c>
      <c r="D81" s="77">
        <v>1</v>
      </c>
      <c r="E81" s="60">
        <v>0</v>
      </c>
      <c r="F81" s="69">
        <v>0</v>
      </c>
      <c r="G81" s="69">
        <v>0</v>
      </c>
      <c r="H81" s="77">
        <v>0</v>
      </c>
      <c r="I81" s="60">
        <v>0</v>
      </c>
      <c r="J81" s="59"/>
      <c r="K81" s="59"/>
      <c r="L81" s="77"/>
      <c r="M81" s="85"/>
    </row>
    <row r="82" spans="1:13" ht="22" thickTop="1" thickBot="1" x14ac:dyDescent="0.35">
      <c r="A82" s="62" t="s">
        <v>32</v>
      </c>
      <c r="B82" s="63">
        <f t="shared" ref="B82:I82" si="10">0+SUM(B45:B81)</f>
        <v>0</v>
      </c>
      <c r="C82" s="63">
        <f t="shared" si="10"/>
        <v>3</v>
      </c>
      <c r="D82" s="63">
        <f t="shared" si="10"/>
        <v>37</v>
      </c>
      <c r="E82" s="63">
        <f t="shared" si="10"/>
        <v>0</v>
      </c>
      <c r="F82" s="63">
        <f t="shared" si="10"/>
        <v>0</v>
      </c>
      <c r="G82" s="63">
        <f t="shared" si="10"/>
        <v>0</v>
      </c>
      <c r="H82" s="63">
        <f t="shared" si="10"/>
        <v>0</v>
      </c>
      <c r="I82" s="63">
        <f t="shared" si="10"/>
        <v>0</v>
      </c>
      <c r="J82" s="63"/>
      <c r="K82" s="63"/>
      <c r="L82" s="63"/>
      <c r="M82" s="63"/>
    </row>
    <row r="83" spans="1:13" ht="21" thickTop="1" x14ac:dyDescent="0.3">
      <c r="A83" s="57"/>
      <c r="B83" s="57" t="s">
        <v>34</v>
      </c>
      <c r="C83" s="57" t="s">
        <v>36</v>
      </c>
      <c r="D83" s="57" t="s">
        <v>34</v>
      </c>
      <c r="E83" s="57" t="s">
        <v>36</v>
      </c>
      <c r="F83" s="57" t="s">
        <v>34</v>
      </c>
      <c r="G83" s="57" t="s">
        <v>36</v>
      </c>
      <c r="H83" s="57" t="s">
        <v>34</v>
      </c>
      <c r="I83" s="57" t="s">
        <v>36</v>
      </c>
      <c r="J83" s="57"/>
      <c r="K83" s="57"/>
      <c r="L83" s="57"/>
      <c r="M83" s="57"/>
    </row>
    <row r="84" spans="1:13" x14ac:dyDescent="0.3">
      <c r="A84" s="64" t="s">
        <v>41</v>
      </c>
      <c r="B84" s="65">
        <f t="shared" ref="B84:I84" si="11">0%+AVERAGE(B45:B81)</f>
        <v>0</v>
      </c>
      <c r="C84" s="65">
        <f t="shared" si="11"/>
        <v>8.1081081081081086E-2</v>
      </c>
      <c r="D84" s="65">
        <f t="shared" si="11"/>
        <v>1</v>
      </c>
      <c r="E84" s="65">
        <f t="shared" si="11"/>
        <v>0</v>
      </c>
      <c r="F84" s="65">
        <f t="shared" si="11"/>
        <v>0</v>
      </c>
      <c r="G84" s="65">
        <f t="shared" si="11"/>
        <v>0</v>
      </c>
      <c r="H84" s="65">
        <f t="shared" si="11"/>
        <v>0</v>
      </c>
      <c r="I84" s="65">
        <f t="shared" si="11"/>
        <v>0</v>
      </c>
      <c r="J84" s="65"/>
      <c r="K84" s="65"/>
      <c r="L84" s="65"/>
      <c r="M84" s="65"/>
    </row>
    <row r="85" spans="1:13" x14ac:dyDescent="0.3">
      <c r="A85" s="55" t="s">
        <v>43</v>
      </c>
      <c r="B85" s="119">
        <f>0%+SUM(B84,C84)</f>
        <v>8.1081081081081086E-2</v>
      </c>
      <c r="C85" s="120"/>
      <c r="D85" s="119">
        <f>0%+SUM(D84,E84)</f>
        <v>1</v>
      </c>
      <c r="E85" s="120"/>
      <c r="F85" s="119">
        <f>0%+SUM(F84,G84)</f>
        <v>0</v>
      </c>
      <c r="G85" s="120"/>
      <c r="H85" s="119">
        <f>0%+SUM(H84,I84)</f>
        <v>0</v>
      </c>
      <c r="I85" s="120"/>
      <c r="J85" s="134" t="s">
        <v>226</v>
      </c>
      <c r="K85" s="134"/>
      <c r="L85" s="134"/>
      <c r="M85" s="134"/>
    </row>
    <row r="87" spans="1:13" x14ac:dyDescent="0.3">
      <c r="A87" t="s">
        <v>109</v>
      </c>
      <c r="B87">
        <f t="shared" ref="B87:I87" si="12">SUM(B3:B11,B19:B37,B45:B81)</f>
        <v>11</v>
      </c>
      <c r="C87">
        <f t="shared" si="12"/>
        <v>7</v>
      </c>
      <c r="D87">
        <f t="shared" si="12"/>
        <v>40</v>
      </c>
      <c r="E87">
        <f t="shared" si="12"/>
        <v>6</v>
      </c>
      <c r="F87">
        <f t="shared" si="12"/>
        <v>13</v>
      </c>
      <c r="G87">
        <f t="shared" si="12"/>
        <v>0</v>
      </c>
      <c r="H87">
        <f t="shared" si="12"/>
        <v>0</v>
      </c>
      <c r="I87">
        <f t="shared" si="12"/>
        <v>3</v>
      </c>
    </row>
    <row r="88" spans="1:13" x14ac:dyDescent="0.3">
      <c r="A88" t="s">
        <v>110</v>
      </c>
      <c r="B88" s="42">
        <f t="shared" ref="B88:I88" si="13">AVERAGE(B3:B11,B19:B37,B45:B81)</f>
        <v>0.16923076923076924</v>
      </c>
      <c r="C88" s="42">
        <f t="shared" si="13"/>
        <v>0.1076923076923077</v>
      </c>
      <c r="D88" s="42">
        <f t="shared" si="13"/>
        <v>0.61538461538461542</v>
      </c>
      <c r="E88" s="42">
        <f t="shared" si="13"/>
        <v>9.2307692307692313E-2</v>
      </c>
      <c r="F88" s="42">
        <f t="shared" si="13"/>
        <v>0.2</v>
      </c>
      <c r="G88" s="42">
        <f t="shared" si="13"/>
        <v>0</v>
      </c>
      <c r="H88" s="42">
        <f t="shared" si="13"/>
        <v>0</v>
      </c>
      <c r="I88" s="42">
        <f t="shared" si="13"/>
        <v>4.6153846153846156E-2</v>
      </c>
      <c r="J88" s="42"/>
      <c r="K88" s="42"/>
      <c r="L88" s="42"/>
      <c r="M88" s="42"/>
    </row>
    <row r="89" spans="1:13" x14ac:dyDescent="0.3">
      <c r="A89" t="s">
        <v>111</v>
      </c>
      <c r="B89" s="42">
        <f>SUM(B88:C88)</f>
        <v>0.27692307692307694</v>
      </c>
      <c r="D89" s="42">
        <f>SUM(D88:E88)</f>
        <v>0.70769230769230773</v>
      </c>
      <c r="F89" s="42">
        <f>SUM(F88:G88)</f>
        <v>0.2</v>
      </c>
      <c r="H89" s="42">
        <f>SUM(H88:I88)</f>
        <v>4.6153846153846156E-2</v>
      </c>
      <c r="J89" s="42"/>
    </row>
  </sheetData>
  <mergeCells count="39">
    <mergeCell ref="L15:M15"/>
    <mergeCell ref="B1:M1"/>
    <mergeCell ref="B2:C2"/>
    <mergeCell ref="D2:E2"/>
    <mergeCell ref="F2:G2"/>
    <mergeCell ref="H2:I2"/>
    <mergeCell ref="J2:K2"/>
    <mergeCell ref="L2:M2"/>
    <mergeCell ref="B15:C15"/>
    <mergeCell ref="D15:E15"/>
    <mergeCell ref="F15:G15"/>
    <mergeCell ref="H15:I15"/>
    <mergeCell ref="J15:K15"/>
    <mergeCell ref="H41:I41"/>
    <mergeCell ref="J41:K41"/>
    <mergeCell ref="L41:M41"/>
    <mergeCell ref="B17:M17"/>
    <mergeCell ref="B18:C18"/>
    <mergeCell ref="D18:E18"/>
    <mergeCell ref="F18:G18"/>
    <mergeCell ref="H18:I18"/>
    <mergeCell ref="J18:K18"/>
    <mergeCell ref="L18:M18"/>
    <mergeCell ref="J40:M40"/>
    <mergeCell ref="J85:M85"/>
    <mergeCell ref="B85:C85"/>
    <mergeCell ref="D85:E85"/>
    <mergeCell ref="F85:G85"/>
    <mergeCell ref="H85:I85"/>
    <mergeCell ref="B43:M43"/>
    <mergeCell ref="B44:C44"/>
    <mergeCell ref="D44:E44"/>
    <mergeCell ref="F44:G44"/>
    <mergeCell ref="H44:I44"/>
    <mergeCell ref="J44:K44"/>
    <mergeCell ref="L44:M44"/>
    <mergeCell ref="B41:C41"/>
    <mergeCell ref="D41:E41"/>
    <mergeCell ref="F41:G41"/>
  </mergeCells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S58"/>
  <sheetViews>
    <sheetView zoomScale="82" workbookViewId="0">
      <selection activeCell="P13" sqref="P13"/>
    </sheetView>
  </sheetViews>
  <sheetFormatPr baseColWidth="12" defaultRowHeight="20" x14ac:dyDescent="0.3"/>
  <cols>
    <col min="1" max="1" width="41.28515625" customWidth="1"/>
    <col min="16" max="16" width="21.5703125" customWidth="1"/>
    <col min="18" max="18" width="25.5703125" customWidth="1"/>
  </cols>
  <sheetData>
    <row r="1" spans="1:19" ht="22" thickTop="1" thickBot="1" x14ac:dyDescent="0.35">
      <c r="A1" s="6" t="s">
        <v>3</v>
      </c>
      <c r="B1" s="123" t="s">
        <v>13</v>
      </c>
      <c r="C1" s="124"/>
      <c r="D1" s="124"/>
      <c r="E1" s="124"/>
      <c r="F1" s="124"/>
      <c r="G1" s="124"/>
      <c r="H1" s="130"/>
      <c r="I1" s="130"/>
      <c r="J1" s="130"/>
      <c r="K1" s="130"/>
      <c r="L1" s="130"/>
      <c r="M1" s="131"/>
      <c r="O1" s="1" t="s">
        <v>169</v>
      </c>
      <c r="P1" s="1" t="s">
        <v>168</v>
      </c>
      <c r="Q1" s="1" t="s">
        <v>170</v>
      </c>
      <c r="R1" s="1" t="s">
        <v>171</v>
      </c>
      <c r="S1" s="1" t="s">
        <v>182</v>
      </c>
    </row>
    <row r="2" spans="1:19" ht="21" thickBot="1" x14ac:dyDescent="0.35">
      <c r="A2" s="87" t="s">
        <v>5</v>
      </c>
      <c r="B2" s="126" t="s">
        <v>227</v>
      </c>
      <c r="C2" s="127"/>
      <c r="D2" s="126" t="s">
        <v>230</v>
      </c>
      <c r="E2" s="127"/>
      <c r="F2" s="126" t="s">
        <v>232</v>
      </c>
      <c r="G2" s="127"/>
      <c r="H2" s="126" t="s">
        <v>233</v>
      </c>
      <c r="I2" s="127"/>
      <c r="J2" s="126" t="s">
        <v>234</v>
      </c>
      <c r="K2" s="127"/>
      <c r="L2" s="126"/>
      <c r="M2" s="127"/>
      <c r="O2" s="1">
        <v>1</v>
      </c>
      <c r="P2" s="136" t="s">
        <v>318</v>
      </c>
      <c r="Q2" s="1"/>
      <c r="R2" s="1"/>
    </row>
    <row r="3" spans="1:19" ht="21" thickTop="1" x14ac:dyDescent="0.3">
      <c r="A3" s="33" t="s">
        <v>228</v>
      </c>
      <c r="B3" s="8">
        <v>1</v>
      </c>
      <c r="C3" s="15">
        <v>0</v>
      </c>
      <c r="D3" s="17">
        <v>0</v>
      </c>
      <c r="E3" s="15">
        <v>0</v>
      </c>
      <c r="F3" s="89">
        <v>0</v>
      </c>
      <c r="G3" s="90">
        <v>0</v>
      </c>
      <c r="H3" s="91">
        <v>0</v>
      </c>
      <c r="I3" s="91">
        <v>0</v>
      </c>
      <c r="J3" s="89">
        <v>0</v>
      </c>
      <c r="K3" s="89">
        <v>0</v>
      </c>
      <c r="L3" s="91">
        <v>0</v>
      </c>
      <c r="M3" s="92">
        <v>0</v>
      </c>
      <c r="O3" s="1">
        <v>2</v>
      </c>
      <c r="P3" s="136" t="s">
        <v>319</v>
      </c>
      <c r="Q3" s="1"/>
      <c r="R3" s="1"/>
    </row>
    <row r="4" spans="1:19" x14ac:dyDescent="0.3">
      <c r="A4" s="33" t="s">
        <v>229</v>
      </c>
      <c r="B4" s="34">
        <v>1</v>
      </c>
      <c r="C4" s="25">
        <v>0</v>
      </c>
      <c r="D4" s="36">
        <v>0</v>
      </c>
      <c r="E4" s="25">
        <v>1</v>
      </c>
      <c r="F4" s="43">
        <v>0</v>
      </c>
      <c r="G4" s="90">
        <v>0</v>
      </c>
      <c r="H4" s="44">
        <v>0</v>
      </c>
      <c r="I4" s="45">
        <v>0</v>
      </c>
      <c r="J4" s="43">
        <v>0</v>
      </c>
      <c r="K4" s="43">
        <v>0</v>
      </c>
      <c r="L4" s="93">
        <v>0</v>
      </c>
      <c r="M4" s="92">
        <v>0</v>
      </c>
      <c r="O4" s="1">
        <v>3</v>
      </c>
      <c r="P4" s="136" t="s">
        <v>320</v>
      </c>
      <c r="Q4" s="1"/>
      <c r="R4" s="1"/>
    </row>
    <row r="5" spans="1:19" x14ac:dyDescent="0.3">
      <c r="A5" s="33" t="s">
        <v>231</v>
      </c>
      <c r="B5" s="12">
        <v>1</v>
      </c>
      <c r="C5" s="25">
        <v>0</v>
      </c>
      <c r="D5" s="26">
        <v>0</v>
      </c>
      <c r="E5" s="25">
        <v>0</v>
      </c>
      <c r="F5" s="47">
        <v>0</v>
      </c>
      <c r="G5" s="90">
        <v>1</v>
      </c>
      <c r="H5" s="48">
        <v>0</v>
      </c>
      <c r="I5" s="49">
        <v>0</v>
      </c>
      <c r="J5" s="43">
        <v>0</v>
      </c>
      <c r="K5" s="90">
        <v>0</v>
      </c>
      <c r="L5" s="93">
        <v>0</v>
      </c>
      <c r="M5" s="92">
        <v>0</v>
      </c>
      <c r="O5" s="1">
        <v>4</v>
      </c>
      <c r="P5" s="136" t="s">
        <v>321</v>
      </c>
      <c r="Q5" s="1"/>
      <c r="R5" s="1"/>
    </row>
    <row r="6" spans="1:19" x14ac:dyDescent="0.3">
      <c r="A6" s="33"/>
      <c r="B6" s="12">
        <v>1</v>
      </c>
      <c r="C6" s="25">
        <v>0</v>
      </c>
      <c r="D6" s="26">
        <v>0</v>
      </c>
      <c r="E6" s="25">
        <v>0</v>
      </c>
      <c r="F6" s="47">
        <v>0</v>
      </c>
      <c r="G6" s="90">
        <v>1</v>
      </c>
      <c r="H6" s="48">
        <v>0</v>
      </c>
      <c r="I6" s="49">
        <v>1</v>
      </c>
      <c r="J6" s="43">
        <v>0</v>
      </c>
      <c r="K6" s="90">
        <v>1</v>
      </c>
      <c r="L6" s="93">
        <v>0</v>
      </c>
      <c r="M6" s="92">
        <v>0</v>
      </c>
      <c r="O6" s="1">
        <v>5</v>
      </c>
      <c r="P6" s="136" t="s">
        <v>322</v>
      </c>
      <c r="Q6" s="1"/>
      <c r="R6" s="1"/>
    </row>
    <row r="7" spans="1:19" x14ac:dyDescent="0.3">
      <c r="A7" s="33" t="s">
        <v>235</v>
      </c>
      <c r="B7" s="18">
        <v>1</v>
      </c>
      <c r="C7" s="25">
        <v>0</v>
      </c>
      <c r="D7" s="26">
        <v>0</v>
      </c>
      <c r="E7" s="25">
        <v>0</v>
      </c>
      <c r="F7" s="47">
        <v>0</v>
      </c>
      <c r="G7" s="90">
        <v>1</v>
      </c>
      <c r="H7" s="48">
        <v>0</v>
      </c>
      <c r="I7" s="49">
        <v>1</v>
      </c>
      <c r="J7" s="43">
        <v>0</v>
      </c>
      <c r="K7" s="90">
        <v>1</v>
      </c>
      <c r="L7" s="93">
        <v>0</v>
      </c>
      <c r="M7" s="92">
        <v>0</v>
      </c>
      <c r="O7" s="1">
        <v>6</v>
      </c>
      <c r="P7" s="136" t="s">
        <v>323</v>
      </c>
      <c r="Q7" s="1"/>
      <c r="R7" s="1"/>
    </row>
    <row r="8" spans="1:19" x14ac:dyDescent="0.3">
      <c r="A8" s="33"/>
      <c r="B8" s="94">
        <v>0</v>
      </c>
      <c r="C8" s="25">
        <v>0</v>
      </c>
      <c r="D8" s="26">
        <v>0</v>
      </c>
      <c r="E8" s="25">
        <v>0</v>
      </c>
      <c r="F8" s="47">
        <v>1</v>
      </c>
      <c r="G8" s="90">
        <v>0</v>
      </c>
      <c r="H8" s="48">
        <v>0</v>
      </c>
      <c r="I8" s="49">
        <v>0</v>
      </c>
      <c r="J8" s="43">
        <v>0</v>
      </c>
      <c r="K8" s="90">
        <v>0</v>
      </c>
      <c r="L8" s="93">
        <v>0</v>
      </c>
      <c r="M8" s="92">
        <v>0</v>
      </c>
      <c r="O8" s="1">
        <v>7</v>
      </c>
      <c r="P8" s="136" t="s">
        <v>324</v>
      </c>
      <c r="Q8" s="1"/>
      <c r="R8" s="1"/>
    </row>
    <row r="9" spans="1:19" x14ac:dyDescent="0.3">
      <c r="A9" s="33"/>
      <c r="B9" s="34">
        <v>1</v>
      </c>
      <c r="C9" s="34">
        <v>0</v>
      </c>
      <c r="D9" s="36">
        <v>0</v>
      </c>
      <c r="E9" s="25">
        <v>0</v>
      </c>
      <c r="F9" s="36">
        <v>0</v>
      </c>
      <c r="G9" s="25">
        <v>0</v>
      </c>
      <c r="H9" s="36">
        <v>0</v>
      </c>
      <c r="I9" s="25">
        <v>0</v>
      </c>
      <c r="J9" s="36">
        <v>0</v>
      </c>
      <c r="K9" s="25">
        <v>0</v>
      </c>
      <c r="L9" s="36">
        <v>0</v>
      </c>
      <c r="M9" s="25">
        <v>0</v>
      </c>
      <c r="O9" s="1">
        <v>8</v>
      </c>
      <c r="P9" s="136" t="s">
        <v>325</v>
      </c>
      <c r="Q9" s="1"/>
      <c r="R9" s="1"/>
    </row>
    <row r="10" spans="1:19" x14ac:dyDescent="0.3">
      <c r="A10" s="33" t="s">
        <v>236</v>
      </c>
      <c r="B10" s="34">
        <v>1</v>
      </c>
      <c r="C10" s="34">
        <v>0</v>
      </c>
      <c r="D10" s="26">
        <v>0</v>
      </c>
      <c r="E10" s="25">
        <v>0</v>
      </c>
      <c r="F10" s="26">
        <v>0</v>
      </c>
      <c r="G10" s="25">
        <v>1</v>
      </c>
      <c r="H10" s="26">
        <v>0</v>
      </c>
      <c r="I10" s="25">
        <v>0</v>
      </c>
      <c r="J10" s="26">
        <v>0</v>
      </c>
      <c r="K10" s="25">
        <v>1</v>
      </c>
      <c r="L10" s="26">
        <v>0</v>
      </c>
      <c r="M10" s="25">
        <v>0</v>
      </c>
      <c r="O10" s="1">
        <v>9</v>
      </c>
      <c r="P10" s="136" t="s">
        <v>326</v>
      </c>
      <c r="Q10" s="1"/>
      <c r="R10" s="1"/>
    </row>
    <row r="11" spans="1:19" x14ac:dyDescent="0.3">
      <c r="A11" s="33" t="s">
        <v>237</v>
      </c>
      <c r="B11" s="12">
        <v>1</v>
      </c>
      <c r="C11" s="12">
        <v>0</v>
      </c>
      <c r="D11" s="26">
        <v>0</v>
      </c>
      <c r="E11" s="25">
        <v>0</v>
      </c>
      <c r="F11" s="26">
        <v>0</v>
      </c>
      <c r="G11" s="25">
        <v>1</v>
      </c>
      <c r="H11" s="26">
        <v>0</v>
      </c>
      <c r="I11" s="25">
        <v>0</v>
      </c>
      <c r="J11" s="26">
        <v>0</v>
      </c>
      <c r="K11" s="25">
        <v>0</v>
      </c>
      <c r="L11" s="26">
        <v>0</v>
      </c>
      <c r="M11" s="25">
        <v>0</v>
      </c>
      <c r="O11" s="1">
        <v>10</v>
      </c>
      <c r="P11" s="136" t="s">
        <v>327</v>
      </c>
      <c r="Q11" s="1"/>
      <c r="R11" s="1"/>
    </row>
    <row r="12" spans="1:19" x14ac:dyDescent="0.3">
      <c r="A12" s="33" t="s">
        <v>238</v>
      </c>
      <c r="B12" s="12">
        <v>1</v>
      </c>
      <c r="C12" s="34">
        <v>0</v>
      </c>
      <c r="D12" s="26">
        <v>0</v>
      </c>
      <c r="E12" s="25">
        <v>0</v>
      </c>
      <c r="F12" s="26">
        <v>0</v>
      </c>
      <c r="G12" s="25">
        <v>0</v>
      </c>
      <c r="H12" s="26">
        <v>0</v>
      </c>
      <c r="I12" s="25">
        <v>0</v>
      </c>
      <c r="J12" s="26">
        <v>0</v>
      </c>
      <c r="K12" s="25">
        <v>1</v>
      </c>
      <c r="L12" s="26">
        <v>0</v>
      </c>
      <c r="M12" s="25">
        <v>0</v>
      </c>
      <c r="P12" s="136" t="s">
        <v>328</v>
      </c>
    </row>
    <row r="13" spans="1:19" x14ac:dyDescent="0.3">
      <c r="A13" s="33" t="s">
        <v>239</v>
      </c>
      <c r="B13" s="12">
        <v>1</v>
      </c>
      <c r="C13" s="34">
        <v>0</v>
      </c>
      <c r="D13" s="26">
        <v>0</v>
      </c>
      <c r="E13" s="25">
        <v>0</v>
      </c>
      <c r="F13" s="26">
        <v>0</v>
      </c>
      <c r="G13" s="25">
        <v>1</v>
      </c>
      <c r="H13" s="26">
        <v>0</v>
      </c>
      <c r="I13" s="25">
        <v>0</v>
      </c>
      <c r="J13" s="26">
        <v>0</v>
      </c>
      <c r="K13" s="25">
        <v>0</v>
      </c>
      <c r="L13" s="26">
        <v>0</v>
      </c>
      <c r="M13" s="25">
        <v>0</v>
      </c>
      <c r="P13" s="137"/>
    </row>
    <row r="14" spans="1:19" x14ac:dyDescent="0.3">
      <c r="A14" s="33"/>
      <c r="B14" s="12">
        <v>1</v>
      </c>
      <c r="C14" s="12">
        <v>0</v>
      </c>
      <c r="D14" s="26">
        <v>0</v>
      </c>
      <c r="E14" s="25">
        <v>1</v>
      </c>
      <c r="F14" s="26">
        <v>0</v>
      </c>
      <c r="G14" s="25">
        <v>1</v>
      </c>
      <c r="H14" s="48">
        <v>0</v>
      </c>
      <c r="I14" s="49">
        <v>1</v>
      </c>
      <c r="J14" s="43">
        <v>0</v>
      </c>
      <c r="K14" s="90">
        <v>0</v>
      </c>
      <c r="L14" s="93">
        <v>0</v>
      </c>
      <c r="M14" s="92">
        <v>0</v>
      </c>
    </row>
    <row r="15" spans="1:19" ht="21" thickBot="1" x14ac:dyDescent="0.35">
      <c r="A15" s="33" t="s">
        <v>240</v>
      </c>
      <c r="B15" s="34">
        <v>1</v>
      </c>
      <c r="C15" s="34">
        <v>0</v>
      </c>
      <c r="D15" s="36">
        <v>0</v>
      </c>
      <c r="E15" s="25">
        <v>0</v>
      </c>
      <c r="F15" s="26">
        <v>0</v>
      </c>
      <c r="G15" s="25">
        <v>0</v>
      </c>
      <c r="H15" s="36">
        <v>0</v>
      </c>
      <c r="I15" s="25">
        <v>0</v>
      </c>
      <c r="J15" s="36">
        <v>0</v>
      </c>
      <c r="K15" s="25">
        <v>0</v>
      </c>
      <c r="L15" s="36">
        <v>0</v>
      </c>
      <c r="M15" s="25">
        <v>0</v>
      </c>
    </row>
    <row r="16" spans="1:19" ht="22" thickTop="1" thickBot="1" x14ac:dyDescent="0.35">
      <c r="A16" s="31" t="s">
        <v>33</v>
      </c>
      <c r="B16" s="32">
        <f t="shared" ref="B16:M16" si="0">SUM(B3:B15)</f>
        <v>12</v>
      </c>
      <c r="C16" s="32">
        <f t="shared" si="0"/>
        <v>0</v>
      </c>
      <c r="D16" s="32">
        <f t="shared" si="0"/>
        <v>0</v>
      </c>
      <c r="E16" s="32">
        <f t="shared" si="0"/>
        <v>2</v>
      </c>
      <c r="F16" s="32">
        <f t="shared" si="0"/>
        <v>1</v>
      </c>
      <c r="G16" s="32">
        <f t="shared" si="0"/>
        <v>7</v>
      </c>
      <c r="H16" s="32">
        <f t="shared" si="0"/>
        <v>0</v>
      </c>
      <c r="I16" s="32">
        <f t="shared" si="0"/>
        <v>3</v>
      </c>
      <c r="J16" s="32">
        <f t="shared" si="0"/>
        <v>0</v>
      </c>
      <c r="K16" s="32">
        <f t="shared" si="0"/>
        <v>4</v>
      </c>
      <c r="L16" s="32">
        <f t="shared" si="0"/>
        <v>0</v>
      </c>
      <c r="M16" s="32">
        <f t="shared" si="0"/>
        <v>0</v>
      </c>
    </row>
    <row r="17" spans="1:19" ht="21" thickTop="1" x14ac:dyDescent="0.3">
      <c r="A17" s="88"/>
      <c r="B17" s="88" t="s">
        <v>35</v>
      </c>
      <c r="C17" s="88" t="s">
        <v>37</v>
      </c>
      <c r="D17" s="88" t="s">
        <v>35</v>
      </c>
      <c r="E17" s="88" t="s">
        <v>37</v>
      </c>
      <c r="F17" s="88" t="s">
        <v>35</v>
      </c>
      <c r="G17" s="88" t="s">
        <v>37</v>
      </c>
      <c r="H17" s="88" t="s">
        <v>35</v>
      </c>
      <c r="I17" s="88" t="s">
        <v>37</v>
      </c>
      <c r="J17" s="88" t="s">
        <v>35</v>
      </c>
      <c r="K17" s="88" t="s">
        <v>37</v>
      </c>
      <c r="L17" s="88" t="s">
        <v>35</v>
      </c>
      <c r="M17" s="88" t="s">
        <v>37</v>
      </c>
    </row>
    <row r="18" spans="1:19" x14ac:dyDescent="0.3">
      <c r="A18" s="41" t="s">
        <v>42</v>
      </c>
      <c r="B18" s="42">
        <f t="shared" ref="B18:M18" si="1">AVERAGE(B3:B15)</f>
        <v>0.92307692307692313</v>
      </c>
      <c r="C18" s="42">
        <f t="shared" si="1"/>
        <v>0</v>
      </c>
      <c r="D18" s="42">
        <f t="shared" si="1"/>
        <v>0</v>
      </c>
      <c r="E18" s="42">
        <f t="shared" si="1"/>
        <v>0.15384615384615385</v>
      </c>
      <c r="F18" s="42">
        <f t="shared" si="1"/>
        <v>7.6923076923076927E-2</v>
      </c>
      <c r="G18" s="42">
        <f t="shared" si="1"/>
        <v>0.53846153846153844</v>
      </c>
      <c r="H18" s="42">
        <f t="shared" si="1"/>
        <v>0</v>
      </c>
      <c r="I18" s="42">
        <f t="shared" si="1"/>
        <v>0.23076923076923078</v>
      </c>
      <c r="J18" s="42">
        <f t="shared" si="1"/>
        <v>0</v>
      </c>
      <c r="K18" s="42">
        <f t="shared" si="1"/>
        <v>0.30769230769230771</v>
      </c>
      <c r="L18" s="42">
        <f t="shared" si="1"/>
        <v>0</v>
      </c>
      <c r="M18" s="42">
        <f t="shared" si="1"/>
        <v>0</v>
      </c>
      <c r="O18" s="55" t="s">
        <v>296</v>
      </c>
      <c r="P18" s="55" t="s">
        <v>297</v>
      </c>
      <c r="Q18" s="55" t="s">
        <v>298</v>
      </c>
      <c r="R18" s="55" t="s">
        <v>299</v>
      </c>
    </row>
    <row r="19" spans="1:19" x14ac:dyDescent="0.3">
      <c r="A19" s="1" t="s">
        <v>44</v>
      </c>
      <c r="B19" s="121">
        <f>SUM(B18,C18)</f>
        <v>0.92307692307692313</v>
      </c>
      <c r="C19" s="122"/>
      <c r="D19" s="121">
        <f t="shared" ref="D19" si="2">SUM(D18,E18)</f>
        <v>0.15384615384615385</v>
      </c>
      <c r="E19" s="122"/>
      <c r="F19" s="121">
        <f t="shared" ref="F19" si="3">SUM(F18,G18)</f>
        <v>0.61538461538461542</v>
      </c>
      <c r="G19" s="122"/>
      <c r="H19" s="121">
        <f t="shared" ref="H19" si="4">SUM(H18,I18)</f>
        <v>0.23076923076923078</v>
      </c>
      <c r="I19" s="122"/>
      <c r="J19" s="121">
        <f t="shared" ref="J19" si="5">SUM(J18,K18)</f>
        <v>0.30769230769230771</v>
      </c>
      <c r="K19" s="122"/>
      <c r="L19" s="121">
        <f t="shared" ref="L19" si="6">SUM(L18,M18)</f>
        <v>0</v>
      </c>
      <c r="M19" s="122"/>
      <c r="O19" s="55">
        <v>1</v>
      </c>
      <c r="P19" s="137" t="s">
        <v>312</v>
      </c>
      <c r="Q19" s="55"/>
      <c r="R19" s="55"/>
    </row>
    <row r="20" spans="1:19" ht="21" thickBot="1" x14ac:dyDescent="0.35">
      <c r="O20" s="55">
        <v>2</v>
      </c>
      <c r="P20" s="137" t="s">
        <v>313</v>
      </c>
      <c r="Q20" s="55"/>
      <c r="R20" s="55"/>
    </row>
    <row r="21" spans="1:19" ht="22" thickTop="1" thickBot="1" x14ac:dyDescent="0.35">
      <c r="A21" s="6" t="s">
        <v>61</v>
      </c>
      <c r="B21" s="123" t="s">
        <v>13</v>
      </c>
      <c r="C21" s="124"/>
      <c r="D21" s="124"/>
      <c r="E21" s="124"/>
      <c r="F21" s="124"/>
      <c r="G21" s="124"/>
      <c r="H21" s="124"/>
      <c r="I21" s="124"/>
      <c r="J21" s="124"/>
      <c r="K21" s="124"/>
      <c r="L21" s="124"/>
      <c r="M21" s="125"/>
      <c r="O21" s="55">
        <v>3</v>
      </c>
      <c r="P21" s="137" t="s">
        <v>314</v>
      </c>
      <c r="Q21" s="55"/>
      <c r="R21" s="55"/>
    </row>
    <row r="22" spans="1:19" ht="21" thickBot="1" x14ac:dyDescent="0.35">
      <c r="A22" s="87" t="s">
        <v>5</v>
      </c>
      <c r="B22" s="126" t="s">
        <v>227</v>
      </c>
      <c r="C22" s="127"/>
      <c r="D22" s="126" t="s">
        <v>230</v>
      </c>
      <c r="E22" s="127"/>
      <c r="F22" s="126" t="s">
        <v>232</v>
      </c>
      <c r="G22" s="127"/>
      <c r="H22" s="126" t="s">
        <v>233</v>
      </c>
      <c r="I22" s="127"/>
      <c r="J22" s="126" t="s">
        <v>234</v>
      </c>
      <c r="K22" s="127"/>
      <c r="L22" s="128"/>
      <c r="M22" s="128"/>
      <c r="O22" s="55">
        <v>4</v>
      </c>
      <c r="P22" s="137" t="s">
        <v>315</v>
      </c>
      <c r="Q22" s="55"/>
      <c r="R22" s="55"/>
    </row>
    <row r="23" spans="1:19" s="100" customFormat="1" ht="21" thickTop="1" x14ac:dyDescent="0.3">
      <c r="A23" s="112" t="s">
        <v>241</v>
      </c>
      <c r="B23" s="98">
        <v>1</v>
      </c>
      <c r="C23" s="98">
        <v>0</v>
      </c>
      <c r="D23" s="99">
        <v>0</v>
      </c>
      <c r="E23" s="98">
        <v>0</v>
      </c>
      <c r="F23" s="99">
        <v>0</v>
      </c>
      <c r="G23" s="98">
        <v>0</v>
      </c>
      <c r="H23" s="98">
        <v>0</v>
      </c>
      <c r="I23" s="98">
        <v>0</v>
      </c>
      <c r="J23" s="98">
        <v>0</v>
      </c>
      <c r="K23" s="98">
        <v>1</v>
      </c>
      <c r="L23" s="98">
        <v>0</v>
      </c>
      <c r="M23" s="98">
        <v>0</v>
      </c>
      <c r="O23" s="55">
        <v>5</v>
      </c>
      <c r="P23" s="137" t="s">
        <v>316</v>
      </c>
      <c r="Q23" s="55"/>
      <c r="R23" s="55"/>
      <c r="S23"/>
    </row>
    <row r="24" spans="1:19" s="100" customFormat="1" x14ac:dyDescent="0.3">
      <c r="A24" s="112" t="s">
        <v>242</v>
      </c>
      <c r="B24" s="101">
        <v>1</v>
      </c>
      <c r="C24" s="102">
        <v>0</v>
      </c>
      <c r="D24" s="99">
        <v>0</v>
      </c>
      <c r="E24" s="102">
        <v>0</v>
      </c>
      <c r="F24" s="99">
        <v>0</v>
      </c>
      <c r="G24" s="99">
        <v>0</v>
      </c>
      <c r="H24" s="103">
        <v>0</v>
      </c>
      <c r="I24" s="104">
        <v>0</v>
      </c>
      <c r="J24" s="105">
        <v>0</v>
      </c>
      <c r="K24" s="105">
        <v>0</v>
      </c>
      <c r="L24" s="103">
        <v>0</v>
      </c>
      <c r="M24" s="106">
        <v>0</v>
      </c>
      <c r="O24" s="55">
        <v>6</v>
      </c>
      <c r="P24" s="137" t="s">
        <v>317</v>
      </c>
      <c r="Q24" s="55"/>
      <c r="R24" s="55"/>
      <c r="S24"/>
    </row>
    <row r="25" spans="1:19" s="100" customFormat="1" x14ac:dyDescent="0.3">
      <c r="A25" s="112"/>
      <c r="B25" s="101">
        <v>1</v>
      </c>
      <c r="C25" s="107">
        <v>0</v>
      </c>
      <c r="D25" s="99">
        <v>0</v>
      </c>
      <c r="E25" s="107">
        <v>0</v>
      </c>
      <c r="F25" s="99">
        <v>0</v>
      </c>
      <c r="G25" s="99">
        <v>0</v>
      </c>
      <c r="H25" s="108">
        <v>0</v>
      </c>
      <c r="I25" s="99">
        <v>0</v>
      </c>
      <c r="J25" s="105">
        <v>0</v>
      </c>
      <c r="K25" s="99">
        <v>0</v>
      </c>
      <c r="L25" s="108">
        <v>0</v>
      </c>
      <c r="M25" s="109">
        <v>0</v>
      </c>
      <c r="O25" s="55">
        <v>7</v>
      </c>
      <c r="P25" s="137"/>
      <c r="Q25" s="55"/>
      <c r="R25" s="55"/>
      <c r="S25"/>
    </row>
    <row r="26" spans="1:19" s="100" customFormat="1" ht="21" thickBot="1" x14ac:dyDescent="0.35">
      <c r="A26" s="112" t="s">
        <v>57</v>
      </c>
      <c r="B26" s="110">
        <v>0</v>
      </c>
      <c r="C26" s="111">
        <v>1</v>
      </c>
      <c r="D26" s="110">
        <v>0</v>
      </c>
      <c r="E26" s="111">
        <v>1</v>
      </c>
      <c r="F26" s="110">
        <v>1</v>
      </c>
      <c r="G26" s="111">
        <v>0</v>
      </c>
      <c r="H26" s="110">
        <v>0</v>
      </c>
      <c r="I26" s="111">
        <v>0</v>
      </c>
      <c r="J26" s="110">
        <v>0</v>
      </c>
      <c r="K26" s="111">
        <v>0</v>
      </c>
      <c r="L26" s="110">
        <v>0</v>
      </c>
      <c r="M26" s="111">
        <v>0</v>
      </c>
      <c r="O26" s="55">
        <v>8</v>
      </c>
      <c r="P26" s="137"/>
      <c r="Q26" s="55"/>
      <c r="R26" s="55"/>
      <c r="S26"/>
    </row>
    <row r="27" spans="1:19" ht="22" thickTop="1" thickBot="1" x14ac:dyDescent="0.35">
      <c r="A27" s="31" t="s">
        <v>33</v>
      </c>
      <c r="B27" s="32">
        <f t="shared" ref="B27:M27" si="7">SUM(B23:B26)</f>
        <v>3</v>
      </c>
      <c r="C27" s="32">
        <f t="shared" si="7"/>
        <v>1</v>
      </c>
      <c r="D27" s="32">
        <f t="shared" si="7"/>
        <v>0</v>
      </c>
      <c r="E27" s="32">
        <f t="shared" si="7"/>
        <v>1</v>
      </c>
      <c r="F27" s="32">
        <f t="shared" si="7"/>
        <v>1</v>
      </c>
      <c r="G27" s="32">
        <f t="shared" si="7"/>
        <v>0</v>
      </c>
      <c r="H27" s="32">
        <f t="shared" si="7"/>
        <v>0</v>
      </c>
      <c r="I27" s="32">
        <f t="shared" si="7"/>
        <v>0</v>
      </c>
      <c r="J27" s="32">
        <f t="shared" si="7"/>
        <v>0</v>
      </c>
      <c r="K27" s="32">
        <f t="shared" si="7"/>
        <v>1</v>
      </c>
      <c r="L27" s="32">
        <f t="shared" si="7"/>
        <v>0</v>
      </c>
      <c r="M27" s="32">
        <f t="shared" si="7"/>
        <v>0</v>
      </c>
      <c r="O27" s="55">
        <v>9</v>
      </c>
      <c r="P27" s="137"/>
      <c r="Q27" s="55"/>
      <c r="R27" s="55"/>
    </row>
    <row r="28" spans="1:19" ht="21" thickTop="1" x14ac:dyDescent="0.3">
      <c r="A28" s="88"/>
      <c r="B28" s="88" t="s">
        <v>35</v>
      </c>
      <c r="C28" s="88" t="s">
        <v>37</v>
      </c>
      <c r="D28" s="88" t="s">
        <v>35</v>
      </c>
      <c r="E28" s="88" t="s">
        <v>37</v>
      </c>
      <c r="F28" s="88" t="s">
        <v>35</v>
      </c>
      <c r="G28" s="88" t="s">
        <v>37</v>
      </c>
      <c r="H28" s="88" t="s">
        <v>35</v>
      </c>
      <c r="I28" s="88" t="s">
        <v>37</v>
      </c>
      <c r="J28" s="88" t="s">
        <v>35</v>
      </c>
      <c r="K28" s="88" t="s">
        <v>37</v>
      </c>
      <c r="L28" s="88" t="s">
        <v>35</v>
      </c>
      <c r="M28" s="88" t="s">
        <v>37</v>
      </c>
      <c r="O28" s="55">
        <v>10</v>
      </c>
      <c r="P28" s="137"/>
      <c r="Q28" s="55"/>
      <c r="R28" s="55"/>
    </row>
    <row r="29" spans="1:19" x14ac:dyDescent="0.3">
      <c r="A29" s="41" t="s">
        <v>42</v>
      </c>
      <c r="B29" s="42">
        <f t="shared" ref="B29:M29" si="8">AVERAGE(B23:B26)</f>
        <v>0.75</v>
      </c>
      <c r="C29" s="42">
        <f t="shared" si="8"/>
        <v>0.25</v>
      </c>
      <c r="D29" s="42">
        <f t="shared" si="8"/>
        <v>0</v>
      </c>
      <c r="E29" s="42">
        <f t="shared" si="8"/>
        <v>0.25</v>
      </c>
      <c r="F29" s="42">
        <f t="shared" si="8"/>
        <v>0.25</v>
      </c>
      <c r="G29" s="42">
        <f t="shared" si="8"/>
        <v>0</v>
      </c>
      <c r="H29" s="42">
        <f t="shared" si="8"/>
        <v>0</v>
      </c>
      <c r="I29" s="42">
        <f t="shared" si="8"/>
        <v>0</v>
      </c>
      <c r="J29" s="42">
        <f t="shared" si="8"/>
        <v>0</v>
      </c>
      <c r="K29" s="42">
        <f t="shared" si="8"/>
        <v>0.25</v>
      </c>
      <c r="L29" s="42">
        <f t="shared" si="8"/>
        <v>0</v>
      </c>
      <c r="M29" s="42">
        <f t="shared" si="8"/>
        <v>0</v>
      </c>
      <c r="O29" s="135" t="s">
        <v>292</v>
      </c>
      <c r="P29" s="137"/>
    </row>
    <row r="30" spans="1:19" x14ac:dyDescent="0.3">
      <c r="A30" s="1" t="s">
        <v>44</v>
      </c>
      <c r="B30" s="121">
        <f>SUM(B29,C29)</f>
        <v>1</v>
      </c>
      <c r="C30" s="122"/>
      <c r="D30" s="121">
        <f t="shared" ref="D30" si="9">SUM(D29,E29)</f>
        <v>0.25</v>
      </c>
      <c r="E30" s="122"/>
      <c r="F30" s="121">
        <f t="shared" ref="F30" si="10">SUM(F29,G29)</f>
        <v>0.25</v>
      </c>
      <c r="G30" s="122"/>
      <c r="H30" s="121">
        <f t="shared" ref="H30" si="11">SUM(H29,I29)</f>
        <v>0</v>
      </c>
      <c r="I30" s="122"/>
      <c r="J30" s="121">
        <f t="shared" ref="J30" si="12">SUM(J29,K29)</f>
        <v>0.25</v>
      </c>
      <c r="K30" s="122"/>
      <c r="L30" s="121">
        <f t="shared" ref="L30" si="13">SUM(L29,M29)</f>
        <v>0</v>
      </c>
      <c r="M30" s="122"/>
      <c r="O30" s="135" t="s">
        <v>293</v>
      </c>
      <c r="P30" s="137"/>
    </row>
    <row r="31" spans="1:19" ht="21" thickBot="1" x14ac:dyDescent="0.35"/>
    <row r="32" spans="1:19" ht="22" thickTop="1" thickBot="1" x14ac:dyDescent="0.35">
      <c r="A32" s="54" t="s">
        <v>60</v>
      </c>
      <c r="B32" s="116" t="s">
        <v>12</v>
      </c>
      <c r="C32" s="117"/>
      <c r="D32" s="117"/>
      <c r="E32" s="117"/>
      <c r="F32" s="117"/>
      <c r="G32" s="117"/>
      <c r="H32" s="117"/>
      <c r="I32" s="117"/>
      <c r="J32" s="117"/>
      <c r="K32" s="117"/>
      <c r="L32" s="117"/>
      <c r="M32" s="118"/>
    </row>
    <row r="33" spans="1:13" ht="21" thickBot="1" x14ac:dyDescent="0.35">
      <c r="A33" s="56" t="s">
        <v>4</v>
      </c>
      <c r="B33" s="126" t="s">
        <v>227</v>
      </c>
      <c r="C33" s="127"/>
      <c r="D33" s="126" t="s">
        <v>230</v>
      </c>
      <c r="E33" s="127"/>
      <c r="F33" s="126" t="s">
        <v>232</v>
      </c>
      <c r="G33" s="127"/>
      <c r="H33" s="126" t="s">
        <v>233</v>
      </c>
      <c r="I33" s="127"/>
      <c r="J33" s="126" t="s">
        <v>234</v>
      </c>
      <c r="K33" s="127"/>
      <c r="L33" s="128"/>
      <c r="M33" s="128"/>
    </row>
    <row r="34" spans="1:13" ht="21" thickTop="1" x14ac:dyDescent="0.3">
      <c r="A34" s="58" t="s">
        <v>243</v>
      </c>
      <c r="B34" s="59">
        <v>1</v>
      </c>
      <c r="C34" s="59">
        <v>0</v>
      </c>
      <c r="D34" s="59">
        <v>0</v>
      </c>
      <c r="E34" s="59">
        <v>0</v>
      </c>
      <c r="F34" s="59">
        <v>0</v>
      </c>
      <c r="G34" s="59">
        <v>0</v>
      </c>
      <c r="H34" s="59">
        <v>0</v>
      </c>
      <c r="I34" s="59">
        <v>0</v>
      </c>
      <c r="J34" s="59">
        <v>0</v>
      </c>
      <c r="K34" s="59">
        <v>0</v>
      </c>
      <c r="L34" s="59">
        <v>0</v>
      </c>
      <c r="M34" s="59">
        <v>0</v>
      </c>
    </row>
    <row r="35" spans="1:13" x14ac:dyDescent="0.3">
      <c r="A35" s="58"/>
      <c r="B35" s="59">
        <v>1</v>
      </c>
      <c r="C35" s="60">
        <v>0</v>
      </c>
      <c r="D35" s="59">
        <v>0</v>
      </c>
      <c r="E35" s="60">
        <v>0</v>
      </c>
      <c r="F35" s="69">
        <v>0</v>
      </c>
      <c r="G35" s="69">
        <v>0</v>
      </c>
      <c r="H35" s="70">
        <v>0</v>
      </c>
      <c r="I35" s="71">
        <v>0</v>
      </c>
      <c r="J35" s="69">
        <v>0</v>
      </c>
      <c r="K35" s="69">
        <v>0</v>
      </c>
      <c r="L35" s="70">
        <v>0</v>
      </c>
      <c r="M35" s="72">
        <v>0</v>
      </c>
    </row>
    <row r="36" spans="1:13" x14ac:dyDescent="0.3">
      <c r="A36" s="58"/>
      <c r="B36" s="59">
        <v>1</v>
      </c>
      <c r="C36" s="60">
        <v>0</v>
      </c>
      <c r="D36" s="59">
        <v>0</v>
      </c>
      <c r="E36" s="60">
        <v>0</v>
      </c>
      <c r="F36" s="69">
        <v>0</v>
      </c>
      <c r="G36" s="69">
        <v>0</v>
      </c>
      <c r="H36" s="70">
        <v>0</v>
      </c>
      <c r="I36" s="71">
        <v>0</v>
      </c>
      <c r="J36" s="69">
        <v>0</v>
      </c>
      <c r="K36" s="69">
        <v>0</v>
      </c>
      <c r="L36" s="70">
        <v>0</v>
      </c>
      <c r="M36" s="72">
        <v>0</v>
      </c>
    </row>
    <row r="37" spans="1:13" x14ac:dyDescent="0.3">
      <c r="A37" s="58"/>
      <c r="B37" s="59">
        <v>1</v>
      </c>
      <c r="C37" s="60">
        <v>0</v>
      </c>
      <c r="D37" s="59">
        <v>0</v>
      </c>
      <c r="E37" s="60">
        <v>0</v>
      </c>
      <c r="F37" s="69">
        <v>0</v>
      </c>
      <c r="G37" s="69">
        <v>0</v>
      </c>
      <c r="H37" s="70">
        <v>0</v>
      </c>
      <c r="I37" s="71">
        <v>0</v>
      </c>
      <c r="J37" s="69">
        <v>0</v>
      </c>
      <c r="K37" s="69">
        <v>0</v>
      </c>
      <c r="L37" s="70">
        <v>0</v>
      </c>
      <c r="M37" s="72">
        <v>0</v>
      </c>
    </row>
    <row r="38" spans="1:13" x14ac:dyDescent="0.3">
      <c r="A38" s="58"/>
      <c r="B38" s="59">
        <v>1</v>
      </c>
      <c r="C38" s="60">
        <v>0</v>
      </c>
      <c r="D38" s="59">
        <v>0</v>
      </c>
      <c r="E38" s="60">
        <v>0</v>
      </c>
      <c r="F38" s="69">
        <v>0</v>
      </c>
      <c r="G38" s="69">
        <v>0</v>
      </c>
      <c r="H38" s="70">
        <v>0</v>
      </c>
      <c r="I38" s="71">
        <v>0</v>
      </c>
      <c r="J38" s="69">
        <v>0</v>
      </c>
      <c r="K38" s="69">
        <v>0</v>
      </c>
      <c r="L38" s="70">
        <v>0</v>
      </c>
      <c r="M38" s="72">
        <v>0</v>
      </c>
    </row>
    <row r="39" spans="1:13" x14ac:dyDescent="0.3">
      <c r="A39" s="58" t="s">
        <v>244</v>
      </c>
      <c r="B39" s="59">
        <v>1</v>
      </c>
      <c r="C39" s="60">
        <v>0</v>
      </c>
      <c r="D39" s="59">
        <v>0</v>
      </c>
      <c r="E39" s="60">
        <v>0</v>
      </c>
      <c r="F39" s="69">
        <v>0</v>
      </c>
      <c r="G39" s="69">
        <v>0</v>
      </c>
      <c r="H39" s="70">
        <v>0</v>
      </c>
      <c r="I39" s="71">
        <v>0</v>
      </c>
      <c r="J39" s="69">
        <v>0</v>
      </c>
      <c r="K39" s="69">
        <v>1</v>
      </c>
      <c r="L39" s="70">
        <v>0</v>
      </c>
      <c r="M39" s="72">
        <v>0</v>
      </c>
    </row>
    <row r="40" spans="1:13" x14ac:dyDescent="0.3">
      <c r="A40" s="58" t="s">
        <v>245</v>
      </c>
      <c r="B40" s="59">
        <v>1</v>
      </c>
      <c r="C40" s="60">
        <v>0</v>
      </c>
      <c r="D40" s="59">
        <v>0</v>
      </c>
      <c r="E40" s="60">
        <v>0</v>
      </c>
      <c r="F40" s="69">
        <v>0</v>
      </c>
      <c r="G40" s="69">
        <v>1</v>
      </c>
      <c r="H40" s="70">
        <v>0</v>
      </c>
      <c r="I40" s="71">
        <v>0</v>
      </c>
      <c r="J40" s="69">
        <v>0</v>
      </c>
      <c r="K40" s="69">
        <v>1</v>
      </c>
      <c r="L40" s="70">
        <v>0</v>
      </c>
      <c r="M40" s="72">
        <v>0</v>
      </c>
    </row>
    <row r="41" spans="1:13" x14ac:dyDescent="0.3">
      <c r="A41" s="58"/>
      <c r="B41" s="59">
        <v>1</v>
      </c>
      <c r="C41" s="60">
        <v>0</v>
      </c>
      <c r="D41" s="59">
        <v>0</v>
      </c>
      <c r="E41" s="60">
        <v>0</v>
      </c>
      <c r="F41" s="69">
        <v>0</v>
      </c>
      <c r="G41" s="69">
        <v>0</v>
      </c>
      <c r="H41" s="70">
        <v>0</v>
      </c>
      <c r="I41" s="71">
        <v>0</v>
      </c>
      <c r="J41" s="69">
        <v>0</v>
      </c>
      <c r="K41" s="69">
        <v>1</v>
      </c>
      <c r="L41" s="70">
        <v>0</v>
      </c>
      <c r="M41" s="72">
        <v>0</v>
      </c>
    </row>
    <row r="42" spans="1:13" x14ac:dyDescent="0.3">
      <c r="A42" s="58" t="s">
        <v>246</v>
      </c>
      <c r="B42" s="59">
        <v>1</v>
      </c>
      <c r="C42" s="60">
        <v>0</v>
      </c>
      <c r="D42" s="59">
        <v>0</v>
      </c>
      <c r="E42" s="60">
        <v>0</v>
      </c>
      <c r="F42" s="69">
        <v>0</v>
      </c>
      <c r="G42" s="69">
        <v>0</v>
      </c>
      <c r="H42" s="70">
        <v>0</v>
      </c>
      <c r="I42" s="71">
        <v>0</v>
      </c>
      <c r="J42" s="69">
        <v>0</v>
      </c>
      <c r="K42" s="69">
        <v>0</v>
      </c>
      <c r="L42" s="70">
        <v>0</v>
      </c>
      <c r="M42" s="72">
        <v>0</v>
      </c>
    </row>
    <row r="43" spans="1:13" x14ac:dyDescent="0.3">
      <c r="A43" s="58"/>
      <c r="B43" s="59">
        <v>1</v>
      </c>
      <c r="C43" s="60">
        <v>0</v>
      </c>
      <c r="D43" s="59">
        <v>0</v>
      </c>
      <c r="E43" s="60">
        <v>0</v>
      </c>
      <c r="F43" s="69">
        <v>0</v>
      </c>
      <c r="G43" s="69">
        <v>0</v>
      </c>
      <c r="H43" s="70">
        <v>0</v>
      </c>
      <c r="I43" s="71">
        <v>0</v>
      </c>
      <c r="J43" s="69">
        <v>0</v>
      </c>
      <c r="K43" s="69">
        <v>0</v>
      </c>
      <c r="L43" s="70">
        <v>0</v>
      </c>
      <c r="M43" s="72">
        <v>0</v>
      </c>
    </row>
    <row r="44" spans="1:13" x14ac:dyDescent="0.3">
      <c r="A44" s="58" t="s">
        <v>247</v>
      </c>
      <c r="B44" s="59">
        <v>1</v>
      </c>
      <c r="C44" s="60">
        <v>0</v>
      </c>
      <c r="D44" s="59">
        <v>0</v>
      </c>
      <c r="E44" s="60">
        <v>0</v>
      </c>
      <c r="F44" s="69">
        <v>0</v>
      </c>
      <c r="G44" s="69">
        <v>0</v>
      </c>
      <c r="H44" s="70">
        <v>0</v>
      </c>
      <c r="I44" s="71">
        <v>0</v>
      </c>
      <c r="J44" s="69">
        <v>0</v>
      </c>
      <c r="K44" s="69">
        <v>0</v>
      </c>
      <c r="L44" s="70">
        <v>0</v>
      </c>
      <c r="M44" s="72">
        <v>0</v>
      </c>
    </row>
    <row r="45" spans="1:13" x14ac:dyDescent="0.3">
      <c r="A45" s="58"/>
      <c r="B45" s="59">
        <v>1</v>
      </c>
      <c r="C45" s="60">
        <v>0</v>
      </c>
      <c r="D45" s="59">
        <v>0</v>
      </c>
      <c r="E45" s="60">
        <v>0</v>
      </c>
      <c r="F45" s="69">
        <v>0</v>
      </c>
      <c r="G45" s="69">
        <v>1</v>
      </c>
      <c r="H45" s="60">
        <v>0</v>
      </c>
      <c r="I45" s="60">
        <v>0</v>
      </c>
      <c r="J45" s="60">
        <v>0</v>
      </c>
      <c r="K45" s="60">
        <v>0</v>
      </c>
      <c r="L45" s="60">
        <v>0</v>
      </c>
      <c r="M45" s="72">
        <v>0</v>
      </c>
    </row>
    <row r="46" spans="1:13" x14ac:dyDescent="0.3">
      <c r="A46" s="58"/>
      <c r="B46" s="59">
        <v>1</v>
      </c>
      <c r="C46" s="60">
        <v>0</v>
      </c>
      <c r="D46" s="59">
        <v>0</v>
      </c>
      <c r="E46" s="76">
        <v>0</v>
      </c>
      <c r="F46" s="69">
        <v>0</v>
      </c>
      <c r="G46" s="69">
        <v>0</v>
      </c>
      <c r="H46" s="75">
        <v>0</v>
      </c>
      <c r="I46" s="76">
        <v>0</v>
      </c>
      <c r="J46" s="59">
        <v>0</v>
      </c>
      <c r="K46" s="59">
        <v>0</v>
      </c>
      <c r="L46" s="75">
        <v>0</v>
      </c>
      <c r="M46" s="84">
        <v>0</v>
      </c>
    </row>
    <row r="47" spans="1:13" x14ac:dyDescent="0.3">
      <c r="A47" s="58"/>
      <c r="B47" s="59">
        <v>1</v>
      </c>
      <c r="C47" s="60">
        <v>0</v>
      </c>
      <c r="D47" s="59">
        <v>0</v>
      </c>
      <c r="E47" s="60">
        <v>0</v>
      </c>
      <c r="F47" s="69">
        <v>0</v>
      </c>
      <c r="G47" s="69">
        <v>0</v>
      </c>
      <c r="H47" s="77">
        <v>0</v>
      </c>
      <c r="I47" s="60">
        <v>0</v>
      </c>
      <c r="J47" s="59">
        <v>0</v>
      </c>
      <c r="K47" s="59">
        <v>0</v>
      </c>
      <c r="L47" s="77">
        <v>0</v>
      </c>
      <c r="M47" s="85">
        <v>0</v>
      </c>
    </row>
    <row r="48" spans="1:13" x14ac:dyDescent="0.3">
      <c r="A48" s="58" t="s">
        <v>248</v>
      </c>
      <c r="B48" s="59">
        <v>1</v>
      </c>
      <c r="C48" s="60">
        <v>0</v>
      </c>
      <c r="D48" s="59">
        <v>0</v>
      </c>
      <c r="E48" s="60">
        <v>0</v>
      </c>
      <c r="F48" s="69">
        <v>0</v>
      </c>
      <c r="G48" s="69">
        <v>0</v>
      </c>
      <c r="H48" s="77">
        <v>0</v>
      </c>
      <c r="I48" s="60">
        <v>0</v>
      </c>
      <c r="J48" s="59">
        <v>0</v>
      </c>
      <c r="K48" s="59">
        <v>0</v>
      </c>
      <c r="L48" s="77">
        <v>0</v>
      </c>
      <c r="M48" s="85">
        <v>0</v>
      </c>
    </row>
    <row r="49" spans="1:13" x14ac:dyDescent="0.3">
      <c r="A49" s="58" t="s">
        <v>249</v>
      </c>
      <c r="B49" s="59">
        <v>1</v>
      </c>
      <c r="C49" s="60">
        <v>0</v>
      </c>
      <c r="D49" s="59">
        <v>0</v>
      </c>
      <c r="E49" s="60">
        <v>0</v>
      </c>
      <c r="F49" s="69">
        <v>0</v>
      </c>
      <c r="G49" s="69">
        <v>0</v>
      </c>
      <c r="H49" s="77">
        <v>0</v>
      </c>
      <c r="I49" s="60">
        <v>0</v>
      </c>
      <c r="J49" s="59">
        <v>0</v>
      </c>
      <c r="K49" s="59">
        <v>0</v>
      </c>
      <c r="L49" s="77">
        <v>0</v>
      </c>
      <c r="M49" s="85">
        <v>0</v>
      </c>
    </row>
    <row r="50" spans="1:13" ht="21" thickBot="1" x14ac:dyDescent="0.35">
      <c r="A50" s="58" t="s">
        <v>250</v>
      </c>
      <c r="B50" s="59">
        <v>1</v>
      </c>
      <c r="C50" s="60">
        <v>0</v>
      </c>
      <c r="D50" s="59">
        <v>0</v>
      </c>
      <c r="E50" s="60">
        <v>0</v>
      </c>
      <c r="F50" s="69">
        <v>0</v>
      </c>
      <c r="G50" s="69">
        <v>0</v>
      </c>
      <c r="H50" s="77">
        <v>0</v>
      </c>
      <c r="I50" s="60">
        <v>0</v>
      </c>
      <c r="J50" s="59">
        <v>0</v>
      </c>
      <c r="K50" s="59">
        <v>0</v>
      </c>
      <c r="L50" s="77">
        <v>0</v>
      </c>
      <c r="M50" s="85">
        <v>0</v>
      </c>
    </row>
    <row r="51" spans="1:13" ht="22" thickTop="1" thickBot="1" x14ac:dyDescent="0.35">
      <c r="A51" s="62" t="s">
        <v>32</v>
      </c>
      <c r="B51" s="63">
        <f t="shared" ref="B51:M51" si="14">0+SUM(B34:B50)</f>
        <v>17</v>
      </c>
      <c r="C51" s="63">
        <f t="shared" si="14"/>
        <v>0</v>
      </c>
      <c r="D51" s="63">
        <f t="shared" si="14"/>
        <v>0</v>
      </c>
      <c r="E51" s="63">
        <f t="shared" si="14"/>
        <v>0</v>
      </c>
      <c r="F51" s="63">
        <f t="shared" si="14"/>
        <v>0</v>
      </c>
      <c r="G51" s="63">
        <f t="shared" si="14"/>
        <v>2</v>
      </c>
      <c r="H51" s="63">
        <f t="shared" si="14"/>
        <v>0</v>
      </c>
      <c r="I51" s="63">
        <f t="shared" si="14"/>
        <v>0</v>
      </c>
      <c r="J51" s="63">
        <f t="shared" si="14"/>
        <v>0</v>
      </c>
      <c r="K51" s="63">
        <f t="shared" si="14"/>
        <v>3</v>
      </c>
      <c r="L51" s="63">
        <f t="shared" si="14"/>
        <v>0</v>
      </c>
      <c r="M51" s="63">
        <f t="shared" si="14"/>
        <v>0</v>
      </c>
    </row>
    <row r="52" spans="1:13" ht="21" thickTop="1" x14ac:dyDescent="0.3">
      <c r="A52" s="57"/>
      <c r="B52" s="57" t="s">
        <v>34</v>
      </c>
      <c r="C52" s="57" t="s">
        <v>36</v>
      </c>
      <c r="D52" s="57" t="s">
        <v>34</v>
      </c>
      <c r="E52" s="57" t="s">
        <v>36</v>
      </c>
      <c r="F52" s="57" t="s">
        <v>34</v>
      </c>
      <c r="G52" s="57" t="s">
        <v>36</v>
      </c>
      <c r="H52" s="57" t="s">
        <v>34</v>
      </c>
      <c r="I52" s="57" t="s">
        <v>36</v>
      </c>
      <c r="J52" s="57" t="s">
        <v>34</v>
      </c>
      <c r="K52" s="57" t="s">
        <v>36</v>
      </c>
      <c r="L52" s="57" t="s">
        <v>34</v>
      </c>
      <c r="M52" s="57" t="s">
        <v>36</v>
      </c>
    </row>
    <row r="53" spans="1:13" x14ac:dyDescent="0.3">
      <c r="A53" s="64" t="s">
        <v>41</v>
      </c>
      <c r="B53" s="65">
        <f t="shared" ref="B53:M53" si="15">0%+AVERAGE(B34:B50)</f>
        <v>1</v>
      </c>
      <c r="C53" s="65">
        <f t="shared" si="15"/>
        <v>0</v>
      </c>
      <c r="D53" s="65">
        <f t="shared" si="15"/>
        <v>0</v>
      </c>
      <c r="E53" s="65">
        <f t="shared" si="15"/>
        <v>0</v>
      </c>
      <c r="F53" s="65">
        <f t="shared" si="15"/>
        <v>0</v>
      </c>
      <c r="G53" s="65">
        <f t="shared" si="15"/>
        <v>0.11764705882352941</v>
      </c>
      <c r="H53" s="65">
        <f t="shared" si="15"/>
        <v>0</v>
      </c>
      <c r="I53" s="65">
        <f t="shared" si="15"/>
        <v>0</v>
      </c>
      <c r="J53" s="65">
        <f t="shared" si="15"/>
        <v>0</v>
      </c>
      <c r="K53" s="65">
        <f t="shared" si="15"/>
        <v>0.17647058823529413</v>
      </c>
      <c r="L53" s="65">
        <f t="shared" si="15"/>
        <v>0</v>
      </c>
      <c r="M53" s="65">
        <f t="shared" si="15"/>
        <v>0</v>
      </c>
    </row>
    <row r="54" spans="1:13" x14ac:dyDescent="0.3">
      <c r="A54" s="55" t="s">
        <v>43</v>
      </c>
      <c r="B54" s="119">
        <f>0%+SUM(B53,C53)</f>
        <v>1</v>
      </c>
      <c r="C54" s="120"/>
      <c r="D54" s="119">
        <f>0%+SUM(D53,E53)</f>
        <v>0</v>
      </c>
      <c r="E54" s="120"/>
      <c r="F54" s="119">
        <f>0%+SUM(F53,G53)</f>
        <v>0.11764705882352941</v>
      </c>
      <c r="G54" s="120"/>
      <c r="H54" s="119">
        <f>0%+SUM(H53,I53)</f>
        <v>0</v>
      </c>
      <c r="I54" s="120"/>
      <c r="J54" s="119">
        <f>0%+SUM(J53,K53)</f>
        <v>0.17647058823529413</v>
      </c>
      <c r="K54" s="120"/>
      <c r="L54" s="119">
        <f>0%+SUM(L53,M53)</f>
        <v>0</v>
      </c>
      <c r="M54" s="120"/>
    </row>
    <row r="56" spans="1:13" x14ac:dyDescent="0.3">
      <c r="A56" t="s">
        <v>109</v>
      </c>
      <c r="B56">
        <f t="shared" ref="B56:M56" si="16">SUM(B3:B15,B23:B26,B34:B50)</f>
        <v>32</v>
      </c>
      <c r="C56">
        <f t="shared" si="16"/>
        <v>1</v>
      </c>
      <c r="D56">
        <f t="shared" si="16"/>
        <v>0</v>
      </c>
      <c r="E56">
        <f t="shared" si="16"/>
        <v>3</v>
      </c>
      <c r="F56">
        <f t="shared" si="16"/>
        <v>2</v>
      </c>
      <c r="G56">
        <f t="shared" si="16"/>
        <v>9</v>
      </c>
      <c r="H56">
        <f t="shared" si="16"/>
        <v>0</v>
      </c>
      <c r="I56">
        <f t="shared" si="16"/>
        <v>3</v>
      </c>
      <c r="J56">
        <f t="shared" si="16"/>
        <v>0</v>
      </c>
      <c r="K56">
        <f t="shared" si="16"/>
        <v>8</v>
      </c>
      <c r="L56">
        <f t="shared" si="16"/>
        <v>0</v>
      </c>
      <c r="M56">
        <f t="shared" si="16"/>
        <v>0</v>
      </c>
    </row>
    <row r="57" spans="1:13" x14ac:dyDescent="0.3">
      <c r="A57" t="s">
        <v>110</v>
      </c>
      <c r="B57" s="42">
        <f t="shared" ref="B57:M57" si="17">AVERAGE(B3:B15,B23:B26,B34:B50)</f>
        <v>0.94117647058823528</v>
      </c>
      <c r="C57" s="42">
        <f t="shared" si="17"/>
        <v>2.9411764705882353E-2</v>
      </c>
      <c r="D57" s="42">
        <f t="shared" si="17"/>
        <v>0</v>
      </c>
      <c r="E57" s="42">
        <f t="shared" si="17"/>
        <v>8.8235294117647065E-2</v>
      </c>
      <c r="F57" s="42">
        <f t="shared" si="17"/>
        <v>5.8823529411764705E-2</v>
      </c>
      <c r="G57" s="42">
        <f t="shared" si="17"/>
        <v>0.26470588235294118</v>
      </c>
      <c r="H57" s="42">
        <f t="shared" si="17"/>
        <v>0</v>
      </c>
      <c r="I57" s="42">
        <f t="shared" si="17"/>
        <v>8.8235294117647065E-2</v>
      </c>
      <c r="J57" s="42">
        <f t="shared" si="17"/>
        <v>0</v>
      </c>
      <c r="K57" s="42">
        <f t="shared" si="17"/>
        <v>0.23529411764705882</v>
      </c>
      <c r="L57" s="42">
        <f t="shared" si="17"/>
        <v>0</v>
      </c>
      <c r="M57" s="42">
        <f t="shared" si="17"/>
        <v>0</v>
      </c>
    </row>
    <row r="58" spans="1:13" x14ac:dyDescent="0.3">
      <c r="A58" t="s">
        <v>111</v>
      </c>
      <c r="B58" s="42">
        <f>SUM(B57:C57)</f>
        <v>0.97058823529411764</v>
      </c>
      <c r="D58" s="42">
        <f>SUM(D57:E57)</f>
        <v>8.8235294117647065E-2</v>
      </c>
      <c r="F58" s="42">
        <f>SUM(F57:G57)</f>
        <v>0.3235294117647059</v>
      </c>
      <c r="H58" s="42">
        <f>SUM(H57:I57)</f>
        <v>8.8235294117647065E-2</v>
      </c>
      <c r="J58" s="42">
        <f>SUM(J57:K57)</f>
        <v>0.23529411764705882</v>
      </c>
    </row>
  </sheetData>
  <mergeCells count="39">
    <mergeCell ref="L19:M19"/>
    <mergeCell ref="B1:M1"/>
    <mergeCell ref="B2:C2"/>
    <mergeCell ref="D2:E2"/>
    <mergeCell ref="F2:G2"/>
    <mergeCell ref="H2:I2"/>
    <mergeCell ref="J2:K2"/>
    <mergeCell ref="L2:M2"/>
    <mergeCell ref="B19:C19"/>
    <mergeCell ref="D19:E19"/>
    <mergeCell ref="F19:G19"/>
    <mergeCell ref="H19:I19"/>
    <mergeCell ref="J19:K19"/>
    <mergeCell ref="L30:M30"/>
    <mergeCell ref="B21:M21"/>
    <mergeCell ref="B22:C22"/>
    <mergeCell ref="D22:E22"/>
    <mergeCell ref="F22:G22"/>
    <mergeCell ref="H22:I22"/>
    <mergeCell ref="J22:K22"/>
    <mergeCell ref="L22:M22"/>
    <mergeCell ref="B30:C30"/>
    <mergeCell ref="D30:E30"/>
    <mergeCell ref="F30:G30"/>
    <mergeCell ref="H30:I30"/>
    <mergeCell ref="J30:K30"/>
    <mergeCell ref="L54:M54"/>
    <mergeCell ref="B32:M32"/>
    <mergeCell ref="B33:C33"/>
    <mergeCell ref="D33:E33"/>
    <mergeCell ref="F33:G33"/>
    <mergeCell ref="H33:I33"/>
    <mergeCell ref="J33:K33"/>
    <mergeCell ref="L33:M33"/>
    <mergeCell ref="B54:C54"/>
    <mergeCell ref="D54:E54"/>
    <mergeCell ref="F54:G54"/>
    <mergeCell ref="H54:I54"/>
    <mergeCell ref="J54:K54"/>
  </mergeCells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T97"/>
  <sheetViews>
    <sheetView zoomScale="69" workbookViewId="0">
      <selection activeCell="R30" sqref="R30"/>
    </sheetView>
  </sheetViews>
  <sheetFormatPr baseColWidth="12" defaultRowHeight="20" x14ac:dyDescent="0.3"/>
  <cols>
    <col min="1" max="1" width="41.28515625" customWidth="1"/>
    <col min="16" max="16" width="21.5703125" customWidth="1"/>
    <col min="18" max="18" width="25.5703125" customWidth="1"/>
  </cols>
  <sheetData>
    <row r="1" spans="1:20" ht="22" thickTop="1" thickBot="1" x14ac:dyDescent="0.35">
      <c r="A1" s="6" t="s">
        <v>3</v>
      </c>
      <c r="B1" s="123" t="s">
        <v>13</v>
      </c>
      <c r="C1" s="124"/>
      <c r="D1" s="124"/>
      <c r="E1" s="124"/>
      <c r="F1" s="124"/>
      <c r="G1" s="124"/>
      <c r="H1" s="130"/>
      <c r="I1" s="130"/>
      <c r="J1" s="130"/>
      <c r="K1" s="130"/>
      <c r="L1" s="130"/>
      <c r="M1" s="131"/>
      <c r="O1" s="1" t="s">
        <v>169</v>
      </c>
      <c r="P1" s="1" t="s">
        <v>168</v>
      </c>
      <c r="Q1" s="1" t="s">
        <v>170</v>
      </c>
      <c r="R1" s="1" t="s">
        <v>171</v>
      </c>
      <c r="S1" s="1" t="s">
        <v>182</v>
      </c>
    </row>
    <row r="2" spans="1:20" ht="21" thickBot="1" x14ac:dyDescent="0.35">
      <c r="A2" s="87" t="s">
        <v>5</v>
      </c>
      <c r="B2" s="126" t="s">
        <v>251</v>
      </c>
      <c r="C2" s="127"/>
      <c r="D2" s="126" t="s">
        <v>252</v>
      </c>
      <c r="E2" s="127"/>
      <c r="F2" s="126" t="s">
        <v>259</v>
      </c>
      <c r="G2" s="127"/>
      <c r="H2" s="126" t="s">
        <v>254</v>
      </c>
      <c r="I2" s="127"/>
      <c r="J2" s="126" t="s">
        <v>261</v>
      </c>
      <c r="K2" s="127"/>
      <c r="L2" s="126" t="s">
        <v>272</v>
      </c>
      <c r="M2" s="127"/>
      <c r="O2" s="1">
        <v>1</v>
      </c>
      <c r="P2" s="1"/>
      <c r="Q2" s="1"/>
      <c r="R2" s="1"/>
      <c r="T2" s="137" t="s">
        <v>379</v>
      </c>
    </row>
    <row r="3" spans="1:20" ht="21" thickTop="1" x14ac:dyDescent="0.3">
      <c r="A3" s="33"/>
      <c r="B3" s="8">
        <v>1</v>
      </c>
      <c r="C3" s="15">
        <v>0</v>
      </c>
      <c r="D3" s="17">
        <v>0</v>
      </c>
      <c r="E3" s="15">
        <v>0</v>
      </c>
      <c r="F3" s="89">
        <v>0</v>
      </c>
      <c r="G3" s="90">
        <v>0</v>
      </c>
      <c r="H3" s="91">
        <v>0</v>
      </c>
      <c r="I3" s="91">
        <v>0</v>
      </c>
      <c r="J3" s="89">
        <v>0</v>
      </c>
      <c r="K3" s="89">
        <v>0</v>
      </c>
      <c r="L3" s="91">
        <v>0</v>
      </c>
      <c r="M3" s="92">
        <v>0</v>
      </c>
      <c r="O3" s="1">
        <v>2</v>
      </c>
      <c r="P3" s="1"/>
      <c r="Q3" s="1"/>
      <c r="R3" s="1"/>
      <c r="T3" s="137" t="s">
        <v>353</v>
      </c>
    </row>
    <row r="4" spans="1:20" x14ac:dyDescent="0.3">
      <c r="A4" s="33"/>
      <c r="B4" s="34">
        <v>1</v>
      </c>
      <c r="C4" s="25">
        <v>0</v>
      </c>
      <c r="D4" s="36">
        <v>0</v>
      </c>
      <c r="E4" s="25">
        <v>0</v>
      </c>
      <c r="F4" s="43">
        <v>0</v>
      </c>
      <c r="G4" s="90">
        <v>0</v>
      </c>
      <c r="H4" s="44">
        <v>0</v>
      </c>
      <c r="I4" s="45">
        <v>0</v>
      </c>
      <c r="J4" s="43">
        <v>0</v>
      </c>
      <c r="K4" s="43">
        <v>0</v>
      </c>
      <c r="L4" s="93">
        <v>0</v>
      </c>
      <c r="M4" s="92">
        <v>0</v>
      </c>
      <c r="O4" s="1">
        <v>3</v>
      </c>
      <c r="P4" s="1"/>
      <c r="Q4" s="1"/>
      <c r="R4" s="1"/>
      <c r="T4" s="137" t="s">
        <v>354</v>
      </c>
    </row>
    <row r="5" spans="1:20" x14ac:dyDescent="0.3">
      <c r="A5" s="33"/>
      <c r="B5" s="12">
        <v>0</v>
      </c>
      <c r="C5" s="25">
        <v>1</v>
      </c>
      <c r="D5" s="26">
        <v>1</v>
      </c>
      <c r="E5" s="25">
        <v>0</v>
      </c>
      <c r="F5" s="47">
        <v>0</v>
      </c>
      <c r="G5" s="90">
        <v>0</v>
      </c>
      <c r="H5" s="48">
        <v>0</v>
      </c>
      <c r="I5" s="49">
        <v>0</v>
      </c>
      <c r="J5" s="43">
        <v>0</v>
      </c>
      <c r="K5" s="90">
        <v>0</v>
      </c>
      <c r="L5" s="93">
        <v>0</v>
      </c>
      <c r="M5" s="92">
        <v>0</v>
      </c>
      <c r="O5" s="1">
        <v>4</v>
      </c>
      <c r="P5" s="1"/>
      <c r="Q5" s="1"/>
      <c r="R5" s="1"/>
      <c r="T5" s="137" t="s">
        <v>355</v>
      </c>
    </row>
    <row r="6" spans="1:20" x14ac:dyDescent="0.3">
      <c r="A6" s="33" t="s">
        <v>253</v>
      </c>
      <c r="B6" s="12">
        <v>1</v>
      </c>
      <c r="C6" s="25">
        <v>0</v>
      </c>
      <c r="D6" s="26">
        <v>0</v>
      </c>
      <c r="E6" s="25">
        <v>1</v>
      </c>
      <c r="F6" s="47">
        <v>0</v>
      </c>
      <c r="G6" s="90">
        <v>0</v>
      </c>
      <c r="H6" s="48">
        <v>0</v>
      </c>
      <c r="I6" s="49">
        <v>1</v>
      </c>
      <c r="J6" s="43">
        <v>0</v>
      </c>
      <c r="K6" s="90">
        <v>0</v>
      </c>
      <c r="L6" s="93">
        <v>0</v>
      </c>
      <c r="M6" s="92">
        <v>0</v>
      </c>
      <c r="O6" s="1">
        <v>5</v>
      </c>
      <c r="P6" s="1"/>
      <c r="Q6" s="1"/>
      <c r="R6" s="1"/>
      <c r="T6" s="137" t="s">
        <v>356</v>
      </c>
    </row>
    <row r="7" spans="1:20" x14ac:dyDescent="0.3">
      <c r="A7" s="33" t="s">
        <v>255</v>
      </c>
      <c r="B7" s="18">
        <v>0</v>
      </c>
      <c r="C7" s="25">
        <v>1</v>
      </c>
      <c r="D7" s="26">
        <v>1</v>
      </c>
      <c r="E7" s="25">
        <v>0</v>
      </c>
      <c r="F7" s="47">
        <v>0</v>
      </c>
      <c r="G7" s="90">
        <v>0</v>
      </c>
      <c r="H7" s="48">
        <v>0</v>
      </c>
      <c r="I7" s="49">
        <v>0</v>
      </c>
      <c r="J7" s="43">
        <v>0</v>
      </c>
      <c r="K7" s="90">
        <v>0</v>
      </c>
      <c r="L7" s="93">
        <v>0</v>
      </c>
      <c r="M7" s="92">
        <v>0</v>
      </c>
      <c r="O7" s="1">
        <v>6</v>
      </c>
      <c r="P7" s="1"/>
      <c r="Q7" s="1"/>
      <c r="R7" s="1"/>
      <c r="T7" s="137" t="s">
        <v>357</v>
      </c>
    </row>
    <row r="8" spans="1:20" x14ac:dyDescent="0.3">
      <c r="A8" s="33"/>
      <c r="B8" s="94">
        <v>1</v>
      </c>
      <c r="C8" s="25">
        <v>0</v>
      </c>
      <c r="D8" s="26">
        <v>0</v>
      </c>
      <c r="E8" s="25">
        <v>0</v>
      </c>
      <c r="F8" s="47">
        <v>0</v>
      </c>
      <c r="G8" s="90">
        <v>0</v>
      </c>
      <c r="H8" s="48">
        <v>0</v>
      </c>
      <c r="I8" s="49">
        <v>0</v>
      </c>
      <c r="J8" s="43">
        <v>0</v>
      </c>
      <c r="K8" s="90">
        <v>0</v>
      </c>
      <c r="L8" s="93">
        <v>0</v>
      </c>
      <c r="M8" s="92">
        <v>0</v>
      </c>
      <c r="O8" s="1">
        <v>7</v>
      </c>
      <c r="P8" s="1"/>
      <c r="Q8" s="1"/>
      <c r="R8" s="1"/>
      <c r="T8" s="137" t="s">
        <v>358</v>
      </c>
    </row>
    <row r="9" spans="1:20" x14ac:dyDescent="0.3">
      <c r="A9" s="33" t="s">
        <v>256</v>
      </c>
      <c r="B9" s="34">
        <v>1</v>
      </c>
      <c r="C9" s="34">
        <v>0</v>
      </c>
      <c r="D9" s="36">
        <v>0</v>
      </c>
      <c r="E9" s="25">
        <v>0</v>
      </c>
      <c r="F9" s="36">
        <v>0</v>
      </c>
      <c r="G9" s="25">
        <v>0</v>
      </c>
      <c r="H9" s="36">
        <v>0</v>
      </c>
      <c r="I9" s="25">
        <v>0</v>
      </c>
      <c r="J9" s="36">
        <v>0</v>
      </c>
      <c r="K9" s="25">
        <v>0</v>
      </c>
      <c r="L9" s="36">
        <v>0</v>
      </c>
      <c r="M9" s="25">
        <v>0</v>
      </c>
      <c r="O9" s="1">
        <v>8</v>
      </c>
      <c r="P9" s="1"/>
      <c r="Q9" s="1"/>
      <c r="R9" s="1"/>
      <c r="T9" s="137" t="s">
        <v>359</v>
      </c>
    </row>
    <row r="10" spans="1:20" x14ac:dyDescent="0.3">
      <c r="A10" s="33"/>
      <c r="B10" s="34">
        <v>1</v>
      </c>
      <c r="C10" s="34">
        <v>0</v>
      </c>
      <c r="D10" s="26">
        <v>0</v>
      </c>
      <c r="E10" s="25">
        <v>0</v>
      </c>
      <c r="F10" s="26">
        <v>0</v>
      </c>
      <c r="G10" s="25">
        <v>0</v>
      </c>
      <c r="H10" s="26">
        <v>0</v>
      </c>
      <c r="I10" s="25">
        <v>0</v>
      </c>
      <c r="J10" s="26">
        <v>0</v>
      </c>
      <c r="K10" s="25">
        <v>0</v>
      </c>
      <c r="L10" s="26">
        <v>0</v>
      </c>
      <c r="M10" s="25">
        <v>0</v>
      </c>
      <c r="O10" s="1">
        <v>9</v>
      </c>
      <c r="P10" s="1"/>
      <c r="Q10" s="1"/>
      <c r="R10" s="1"/>
      <c r="T10" s="137" t="s">
        <v>360</v>
      </c>
    </row>
    <row r="11" spans="1:20" x14ac:dyDescent="0.3">
      <c r="A11" s="33" t="s">
        <v>257</v>
      </c>
      <c r="B11" s="12">
        <v>1</v>
      </c>
      <c r="C11" s="12">
        <v>0</v>
      </c>
      <c r="D11" s="26">
        <v>0</v>
      </c>
      <c r="E11" s="25">
        <v>0</v>
      </c>
      <c r="F11" s="26">
        <v>0</v>
      </c>
      <c r="G11" s="25">
        <v>0</v>
      </c>
      <c r="H11" s="26">
        <v>0</v>
      </c>
      <c r="I11" s="25">
        <v>0</v>
      </c>
      <c r="J11" s="26">
        <v>0</v>
      </c>
      <c r="K11" s="25">
        <v>0</v>
      </c>
      <c r="L11" s="26">
        <v>0</v>
      </c>
      <c r="M11" s="25">
        <v>0</v>
      </c>
      <c r="O11" s="1">
        <v>10</v>
      </c>
      <c r="P11" s="1"/>
      <c r="Q11" s="1"/>
      <c r="R11" s="1"/>
      <c r="T11" s="137" t="s">
        <v>361</v>
      </c>
    </row>
    <row r="12" spans="1:20" x14ac:dyDescent="0.3">
      <c r="A12" s="33" t="s">
        <v>258</v>
      </c>
      <c r="B12" s="12">
        <v>0</v>
      </c>
      <c r="C12" s="34">
        <v>0</v>
      </c>
      <c r="D12" s="26">
        <v>0</v>
      </c>
      <c r="E12" s="25">
        <v>0</v>
      </c>
      <c r="F12" s="26">
        <v>1</v>
      </c>
      <c r="G12" s="25">
        <v>0</v>
      </c>
      <c r="H12" s="26">
        <v>0</v>
      </c>
      <c r="I12" s="25">
        <v>0</v>
      </c>
      <c r="J12" s="26">
        <v>0</v>
      </c>
      <c r="K12" s="25">
        <v>0</v>
      </c>
      <c r="L12" s="26">
        <v>0</v>
      </c>
      <c r="M12" s="25">
        <v>0</v>
      </c>
      <c r="T12" s="137" t="s">
        <v>362</v>
      </c>
    </row>
    <row r="13" spans="1:20" x14ac:dyDescent="0.3">
      <c r="A13" s="33" t="s">
        <v>260</v>
      </c>
      <c r="B13" s="12">
        <v>1</v>
      </c>
      <c r="C13" s="34">
        <v>0</v>
      </c>
      <c r="D13" s="26">
        <v>0</v>
      </c>
      <c r="E13" s="25">
        <v>1</v>
      </c>
      <c r="F13" s="26">
        <v>0</v>
      </c>
      <c r="G13" s="25">
        <v>1</v>
      </c>
      <c r="H13" s="26">
        <v>0</v>
      </c>
      <c r="I13" s="25">
        <v>1</v>
      </c>
      <c r="J13" s="26">
        <v>0</v>
      </c>
      <c r="K13" s="25">
        <v>1</v>
      </c>
      <c r="L13" s="26">
        <v>0</v>
      </c>
      <c r="M13" s="25">
        <v>0</v>
      </c>
      <c r="T13" s="137" t="s">
        <v>363</v>
      </c>
    </row>
    <row r="14" spans="1:20" x14ac:dyDescent="0.3">
      <c r="A14" s="33" t="s">
        <v>248</v>
      </c>
      <c r="B14" s="12">
        <v>0</v>
      </c>
      <c r="C14" s="12">
        <v>1</v>
      </c>
      <c r="D14" s="26">
        <v>0</v>
      </c>
      <c r="E14" s="25">
        <v>0</v>
      </c>
      <c r="F14" s="26">
        <v>0</v>
      </c>
      <c r="G14" s="25">
        <v>0</v>
      </c>
      <c r="H14" s="48">
        <v>0</v>
      </c>
      <c r="I14" s="49">
        <v>1</v>
      </c>
      <c r="J14" s="43">
        <v>1</v>
      </c>
      <c r="K14" s="90">
        <v>0</v>
      </c>
      <c r="L14" s="93">
        <v>0</v>
      </c>
      <c r="M14" s="92">
        <v>0</v>
      </c>
      <c r="T14" s="137" t="s">
        <v>364</v>
      </c>
    </row>
    <row r="15" spans="1:20" ht="21" thickBot="1" x14ac:dyDescent="0.35">
      <c r="A15" s="33"/>
      <c r="B15" s="34">
        <v>0</v>
      </c>
      <c r="C15" s="34">
        <v>1</v>
      </c>
      <c r="D15" s="36">
        <v>1</v>
      </c>
      <c r="E15" s="25">
        <v>0</v>
      </c>
      <c r="F15" s="26">
        <v>0</v>
      </c>
      <c r="G15" s="25">
        <v>0</v>
      </c>
      <c r="H15" s="36">
        <v>0</v>
      </c>
      <c r="I15" s="25">
        <v>0</v>
      </c>
      <c r="J15" s="36">
        <v>0</v>
      </c>
      <c r="K15" s="25">
        <v>1</v>
      </c>
      <c r="L15" s="36">
        <v>0</v>
      </c>
      <c r="M15" s="25">
        <v>0</v>
      </c>
      <c r="T15" s="137" t="s">
        <v>365</v>
      </c>
    </row>
    <row r="16" spans="1:20" ht="22" thickTop="1" thickBot="1" x14ac:dyDescent="0.35">
      <c r="A16" s="31" t="s">
        <v>33</v>
      </c>
      <c r="B16" s="32">
        <f t="shared" ref="B16:M16" si="0">SUM(B3:B15)</f>
        <v>8</v>
      </c>
      <c r="C16" s="32">
        <f t="shared" si="0"/>
        <v>4</v>
      </c>
      <c r="D16" s="32">
        <f t="shared" si="0"/>
        <v>3</v>
      </c>
      <c r="E16" s="32">
        <f t="shared" si="0"/>
        <v>2</v>
      </c>
      <c r="F16" s="32">
        <f t="shared" si="0"/>
        <v>1</v>
      </c>
      <c r="G16" s="32">
        <f t="shared" si="0"/>
        <v>1</v>
      </c>
      <c r="H16" s="32">
        <f t="shared" si="0"/>
        <v>0</v>
      </c>
      <c r="I16" s="32">
        <f t="shared" si="0"/>
        <v>3</v>
      </c>
      <c r="J16" s="32">
        <f t="shared" si="0"/>
        <v>1</v>
      </c>
      <c r="K16" s="32">
        <f t="shared" si="0"/>
        <v>2</v>
      </c>
      <c r="L16" s="32">
        <f t="shared" si="0"/>
        <v>0</v>
      </c>
      <c r="M16" s="32">
        <f t="shared" si="0"/>
        <v>0</v>
      </c>
      <c r="T16" s="137" t="s">
        <v>366</v>
      </c>
    </row>
    <row r="17" spans="1:20" ht="21" thickTop="1" x14ac:dyDescent="0.3">
      <c r="A17" s="88"/>
      <c r="B17" s="88" t="s">
        <v>35</v>
      </c>
      <c r="C17" s="88" t="s">
        <v>37</v>
      </c>
      <c r="D17" s="88" t="s">
        <v>35</v>
      </c>
      <c r="E17" s="88" t="s">
        <v>37</v>
      </c>
      <c r="F17" s="88" t="s">
        <v>35</v>
      </c>
      <c r="G17" s="88" t="s">
        <v>37</v>
      </c>
      <c r="H17" s="88" t="s">
        <v>35</v>
      </c>
      <c r="I17" s="88" t="s">
        <v>37</v>
      </c>
      <c r="J17" s="88" t="s">
        <v>35</v>
      </c>
      <c r="K17" s="88" t="s">
        <v>37</v>
      </c>
      <c r="L17" s="88" t="s">
        <v>35</v>
      </c>
      <c r="M17" s="88" t="s">
        <v>37</v>
      </c>
      <c r="T17" s="137" t="s">
        <v>367</v>
      </c>
    </row>
    <row r="18" spans="1:20" x14ac:dyDescent="0.3">
      <c r="A18" s="41" t="s">
        <v>42</v>
      </c>
      <c r="B18" s="42">
        <f t="shared" ref="B18:M18" si="1">AVERAGE(B3:B15)</f>
        <v>0.61538461538461542</v>
      </c>
      <c r="C18" s="42">
        <f t="shared" si="1"/>
        <v>0.30769230769230771</v>
      </c>
      <c r="D18" s="42">
        <f t="shared" si="1"/>
        <v>0.23076923076923078</v>
      </c>
      <c r="E18" s="42">
        <f t="shared" si="1"/>
        <v>0.15384615384615385</v>
      </c>
      <c r="F18" s="42">
        <f t="shared" si="1"/>
        <v>7.6923076923076927E-2</v>
      </c>
      <c r="G18" s="42">
        <f t="shared" si="1"/>
        <v>7.6923076923076927E-2</v>
      </c>
      <c r="H18" s="42">
        <f t="shared" si="1"/>
        <v>0</v>
      </c>
      <c r="I18" s="42">
        <f t="shared" si="1"/>
        <v>0.23076923076923078</v>
      </c>
      <c r="J18" s="42">
        <f t="shared" si="1"/>
        <v>7.6923076923076927E-2</v>
      </c>
      <c r="K18" s="42">
        <f t="shared" si="1"/>
        <v>0.15384615384615385</v>
      </c>
      <c r="L18" s="42">
        <f t="shared" si="1"/>
        <v>0</v>
      </c>
      <c r="M18" s="42">
        <f t="shared" si="1"/>
        <v>0</v>
      </c>
      <c r="T18" s="137" t="s">
        <v>368</v>
      </c>
    </row>
    <row r="19" spans="1:20" x14ac:dyDescent="0.3">
      <c r="A19" s="1" t="s">
        <v>44</v>
      </c>
      <c r="B19" s="121">
        <f>SUM(B18,C18)</f>
        <v>0.92307692307692313</v>
      </c>
      <c r="C19" s="122"/>
      <c r="D19" s="121">
        <f t="shared" ref="D19" si="2">SUM(D18,E18)</f>
        <v>0.38461538461538464</v>
      </c>
      <c r="E19" s="122"/>
      <c r="F19" s="121">
        <f t="shared" ref="F19" si="3">SUM(F18,G18)</f>
        <v>0.15384615384615385</v>
      </c>
      <c r="G19" s="122"/>
      <c r="H19" s="121">
        <f t="shared" ref="H19" si="4">SUM(H18,I18)</f>
        <v>0.23076923076923078</v>
      </c>
      <c r="I19" s="122"/>
      <c r="J19" s="121">
        <f t="shared" ref="J19" si="5">SUM(J18,K18)</f>
        <v>0.23076923076923078</v>
      </c>
      <c r="K19" s="122"/>
      <c r="L19" s="121">
        <f t="shared" ref="L19" si="6">SUM(L18,M18)</f>
        <v>0</v>
      </c>
      <c r="M19" s="122"/>
      <c r="T19" s="137" t="s">
        <v>369</v>
      </c>
    </row>
    <row r="20" spans="1:20" ht="21" thickBot="1" x14ac:dyDescent="0.35">
      <c r="T20" s="137" t="s">
        <v>370</v>
      </c>
    </row>
    <row r="21" spans="1:20" ht="22" thickTop="1" thickBot="1" x14ac:dyDescent="0.35">
      <c r="A21" s="6" t="s">
        <v>61</v>
      </c>
      <c r="B21" s="123" t="s">
        <v>13</v>
      </c>
      <c r="C21" s="124"/>
      <c r="D21" s="124"/>
      <c r="E21" s="124"/>
      <c r="F21" s="124"/>
      <c r="G21" s="124"/>
      <c r="H21" s="124"/>
      <c r="I21" s="124"/>
      <c r="J21" s="124"/>
      <c r="K21" s="124"/>
      <c r="L21" s="124"/>
      <c r="M21" s="125"/>
      <c r="O21" s="1" t="s">
        <v>169</v>
      </c>
      <c r="P21" s="1" t="s">
        <v>168</v>
      </c>
      <c r="Q21" s="1" t="s">
        <v>170</v>
      </c>
      <c r="R21" s="1" t="s">
        <v>171</v>
      </c>
      <c r="S21" s="1" t="s">
        <v>182</v>
      </c>
      <c r="T21" s="137" t="s">
        <v>371</v>
      </c>
    </row>
    <row r="22" spans="1:20" ht="21" thickBot="1" x14ac:dyDescent="0.35">
      <c r="A22" s="87" t="s">
        <v>5</v>
      </c>
      <c r="B22" s="126" t="s">
        <v>251</v>
      </c>
      <c r="C22" s="127"/>
      <c r="D22" s="126" t="s">
        <v>252</v>
      </c>
      <c r="E22" s="127"/>
      <c r="F22" s="126" t="s">
        <v>259</v>
      </c>
      <c r="G22" s="127"/>
      <c r="H22" s="126" t="s">
        <v>254</v>
      </c>
      <c r="I22" s="127"/>
      <c r="J22" s="126" t="s">
        <v>261</v>
      </c>
      <c r="K22" s="127"/>
      <c r="L22" s="128" t="s">
        <v>272</v>
      </c>
      <c r="M22" s="128"/>
      <c r="O22" s="1">
        <v>1</v>
      </c>
      <c r="P22" s="137" t="s">
        <v>329</v>
      </c>
      <c r="Q22" s="1"/>
      <c r="R22" s="1"/>
      <c r="T22" s="137" t="s">
        <v>372</v>
      </c>
    </row>
    <row r="23" spans="1:20" ht="21" thickTop="1" x14ac:dyDescent="0.3">
      <c r="A23" s="33" t="s">
        <v>46</v>
      </c>
      <c r="B23" s="8">
        <v>1</v>
      </c>
      <c r="C23" s="8">
        <v>0</v>
      </c>
      <c r="D23" s="18">
        <v>0</v>
      </c>
      <c r="E23" s="8">
        <v>0</v>
      </c>
      <c r="F23" s="18">
        <v>0</v>
      </c>
      <c r="G23" s="8">
        <v>0</v>
      </c>
      <c r="H23" s="8">
        <v>0</v>
      </c>
      <c r="I23" s="8">
        <v>0</v>
      </c>
      <c r="J23" s="8">
        <v>0</v>
      </c>
      <c r="K23" s="8">
        <v>0</v>
      </c>
      <c r="L23" s="8">
        <v>0</v>
      </c>
      <c r="M23" s="8">
        <v>0</v>
      </c>
      <c r="O23" s="1">
        <v>2</v>
      </c>
      <c r="P23" s="137" t="s">
        <v>330</v>
      </c>
      <c r="Q23" s="1"/>
      <c r="R23" s="1"/>
      <c r="T23" s="137" t="s">
        <v>373</v>
      </c>
    </row>
    <row r="24" spans="1:20" x14ac:dyDescent="0.3">
      <c r="A24" s="33"/>
      <c r="B24" s="12">
        <v>1</v>
      </c>
      <c r="C24" s="35">
        <v>0</v>
      </c>
      <c r="D24" s="18">
        <v>0</v>
      </c>
      <c r="E24" s="35">
        <v>0</v>
      </c>
      <c r="F24" s="18">
        <v>0</v>
      </c>
      <c r="G24" s="18">
        <v>0</v>
      </c>
      <c r="H24" s="44">
        <v>0</v>
      </c>
      <c r="I24" s="45">
        <v>0</v>
      </c>
      <c r="J24" s="43">
        <v>0</v>
      </c>
      <c r="K24" s="43">
        <v>0</v>
      </c>
      <c r="L24" s="44">
        <v>0</v>
      </c>
      <c r="M24" s="46">
        <v>0</v>
      </c>
      <c r="O24" s="1">
        <v>3</v>
      </c>
      <c r="P24" s="137" t="s">
        <v>331</v>
      </c>
      <c r="Q24" s="1"/>
      <c r="R24" s="1"/>
      <c r="T24" s="137" t="s">
        <v>374</v>
      </c>
    </row>
    <row r="25" spans="1:20" x14ac:dyDescent="0.3">
      <c r="A25" s="33"/>
      <c r="B25" s="12">
        <v>0</v>
      </c>
      <c r="C25" s="16">
        <v>1</v>
      </c>
      <c r="D25" s="18">
        <v>1</v>
      </c>
      <c r="E25" s="16">
        <v>0</v>
      </c>
      <c r="F25" s="18">
        <v>0</v>
      </c>
      <c r="G25" s="18">
        <v>0</v>
      </c>
      <c r="H25" s="48">
        <v>0</v>
      </c>
      <c r="I25" s="18">
        <v>1</v>
      </c>
      <c r="J25" s="43">
        <v>0</v>
      </c>
      <c r="K25" s="18">
        <v>0</v>
      </c>
      <c r="L25" s="48">
        <v>0</v>
      </c>
      <c r="M25" s="50">
        <v>0</v>
      </c>
      <c r="O25" s="1">
        <v>4</v>
      </c>
      <c r="P25" s="137" t="s">
        <v>332</v>
      </c>
      <c r="Q25" s="1"/>
      <c r="R25" s="1"/>
      <c r="T25" s="137" t="s">
        <v>375</v>
      </c>
    </row>
    <row r="26" spans="1:20" x14ac:dyDescent="0.3">
      <c r="A26" s="33" t="s">
        <v>262</v>
      </c>
      <c r="B26" s="36">
        <v>1</v>
      </c>
      <c r="C26" s="25">
        <v>0</v>
      </c>
      <c r="D26" s="36">
        <v>0</v>
      </c>
      <c r="E26" s="25">
        <v>0</v>
      </c>
      <c r="F26" s="36">
        <v>0</v>
      </c>
      <c r="G26" s="25">
        <v>0</v>
      </c>
      <c r="H26" s="36">
        <v>0</v>
      </c>
      <c r="I26" s="25">
        <v>0</v>
      </c>
      <c r="J26" s="36">
        <v>0</v>
      </c>
      <c r="K26" s="25">
        <v>0</v>
      </c>
      <c r="L26" s="36">
        <v>0</v>
      </c>
      <c r="M26" s="25">
        <v>0</v>
      </c>
      <c r="O26" s="1">
        <v>5</v>
      </c>
      <c r="P26" s="137" t="s">
        <v>333</v>
      </c>
      <c r="Q26" s="1"/>
      <c r="R26" s="1"/>
      <c r="T26" s="137" t="s">
        <v>376</v>
      </c>
    </row>
    <row r="27" spans="1:20" x14ac:dyDescent="0.3">
      <c r="A27" s="33"/>
      <c r="B27" s="26">
        <v>0</v>
      </c>
      <c r="C27" s="25">
        <v>0</v>
      </c>
      <c r="D27" s="26">
        <v>0</v>
      </c>
      <c r="E27" s="25">
        <v>0</v>
      </c>
      <c r="F27" s="26">
        <v>1</v>
      </c>
      <c r="G27" s="25">
        <v>0</v>
      </c>
      <c r="H27" s="26">
        <v>0</v>
      </c>
      <c r="I27" s="25">
        <v>0</v>
      </c>
      <c r="J27" s="26">
        <v>0</v>
      </c>
      <c r="K27" s="25">
        <v>0</v>
      </c>
      <c r="L27" s="26">
        <v>0</v>
      </c>
      <c r="M27" s="25">
        <v>0</v>
      </c>
      <c r="O27" s="1">
        <v>6</v>
      </c>
      <c r="P27" s="137" t="s">
        <v>334</v>
      </c>
      <c r="Q27" s="1"/>
      <c r="R27" s="1"/>
      <c r="T27" s="137" t="s">
        <v>377</v>
      </c>
    </row>
    <row r="28" spans="1:20" x14ac:dyDescent="0.3">
      <c r="A28" s="33" t="s">
        <v>263</v>
      </c>
      <c r="B28" s="26">
        <v>0</v>
      </c>
      <c r="C28" s="25">
        <v>0</v>
      </c>
      <c r="D28" s="26">
        <v>0</v>
      </c>
      <c r="E28" s="25">
        <v>0</v>
      </c>
      <c r="F28" s="26">
        <v>1</v>
      </c>
      <c r="G28" s="25">
        <v>0</v>
      </c>
      <c r="H28" s="26">
        <v>0</v>
      </c>
      <c r="I28" s="25">
        <v>0</v>
      </c>
      <c r="J28" s="26">
        <v>0</v>
      </c>
      <c r="K28" s="25">
        <v>0</v>
      </c>
      <c r="L28" s="26">
        <v>0</v>
      </c>
      <c r="M28" s="25">
        <v>0</v>
      </c>
      <c r="O28" s="1">
        <v>7</v>
      </c>
      <c r="P28" s="137" t="s">
        <v>335</v>
      </c>
      <c r="Q28" s="1"/>
      <c r="R28" s="1"/>
      <c r="T28" s="137" t="s">
        <v>378</v>
      </c>
    </row>
    <row r="29" spans="1:20" x14ac:dyDescent="0.3">
      <c r="A29" s="33"/>
      <c r="B29" s="26">
        <v>1</v>
      </c>
      <c r="C29" s="25">
        <v>0</v>
      </c>
      <c r="D29" s="26">
        <v>0</v>
      </c>
      <c r="E29" s="25">
        <v>0</v>
      </c>
      <c r="F29" s="26">
        <v>0</v>
      </c>
      <c r="G29" s="25">
        <v>0</v>
      </c>
      <c r="H29" s="26">
        <v>0</v>
      </c>
      <c r="I29" s="25">
        <v>0</v>
      </c>
      <c r="J29" s="26">
        <v>0</v>
      </c>
      <c r="K29" s="25">
        <v>0</v>
      </c>
      <c r="L29" s="26">
        <v>0</v>
      </c>
      <c r="M29" s="25">
        <v>0</v>
      </c>
      <c r="O29" s="1">
        <v>8</v>
      </c>
      <c r="P29" s="137" t="s">
        <v>336</v>
      </c>
      <c r="Q29" s="1"/>
      <c r="R29" s="1"/>
    </row>
    <row r="30" spans="1:20" x14ac:dyDescent="0.3">
      <c r="A30" s="33" t="s">
        <v>264</v>
      </c>
      <c r="B30" s="26">
        <v>0</v>
      </c>
      <c r="C30" s="25">
        <v>1</v>
      </c>
      <c r="D30" s="26">
        <v>1</v>
      </c>
      <c r="E30" s="25">
        <v>0</v>
      </c>
      <c r="F30" s="26">
        <v>0</v>
      </c>
      <c r="G30" s="25">
        <v>0</v>
      </c>
      <c r="H30" s="26">
        <v>0</v>
      </c>
      <c r="I30" s="25">
        <v>0</v>
      </c>
      <c r="J30" s="26">
        <v>0</v>
      </c>
      <c r="K30" s="25">
        <v>0</v>
      </c>
      <c r="L30" s="26">
        <v>0</v>
      </c>
      <c r="M30" s="25">
        <v>0</v>
      </c>
      <c r="O30" s="1">
        <v>9</v>
      </c>
      <c r="P30" s="137" t="s">
        <v>337</v>
      </c>
      <c r="Q30" s="1"/>
      <c r="R30" s="1"/>
    </row>
    <row r="31" spans="1:20" x14ac:dyDescent="0.3">
      <c r="A31" s="33" t="s">
        <v>265</v>
      </c>
      <c r="B31" s="36">
        <v>1</v>
      </c>
      <c r="C31" s="25">
        <v>0</v>
      </c>
      <c r="D31" s="26">
        <v>0</v>
      </c>
      <c r="E31" s="25">
        <v>0</v>
      </c>
      <c r="F31" s="36">
        <v>0</v>
      </c>
      <c r="G31" s="25">
        <v>0</v>
      </c>
      <c r="H31" s="26">
        <v>0</v>
      </c>
      <c r="I31" s="25">
        <v>0</v>
      </c>
      <c r="J31" s="36">
        <v>0</v>
      </c>
      <c r="K31" s="25">
        <v>0</v>
      </c>
      <c r="L31" s="36">
        <v>0</v>
      </c>
      <c r="M31" s="25">
        <v>0</v>
      </c>
      <c r="O31" s="1">
        <v>10</v>
      </c>
      <c r="P31" s="137" t="s">
        <v>338</v>
      </c>
      <c r="Q31" s="1"/>
      <c r="R31" s="1"/>
    </row>
    <row r="32" spans="1:20" x14ac:dyDescent="0.3">
      <c r="A32" s="33"/>
      <c r="B32" s="26">
        <v>0</v>
      </c>
      <c r="C32" s="25">
        <v>1</v>
      </c>
      <c r="D32" s="26">
        <v>1</v>
      </c>
      <c r="E32" s="25">
        <v>0</v>
      </c>
      <c r="F32" s="26">
        <v>0</v>
      </c>
      <c r="G32" s="25">
        <v>0</v>
      </c>
      <c r="H32" s="26">
        <v>0</v>
      </c>
      <c r="I32" s="25">
        <v>0</v>
      </c>
      <c r="J32" s="26">
        <v>0</v>
      </c>
      <c r="K32" s="25">
        <v>0</v>
      </c>
      <c r="L32" s="26">
        <v>0</v>
      </c>
      <c r="M32" s="25">
        <v>0</v>
      </c>
      <c r="P32" s="137" t="s">
        <v>339</v>
      </c>
    </row>
    <row r="33" spans="1:16" x14ac:dyDescent="0.3">
      <c r="A33" s="33" t="s">
        <v>266</v>
      </c>
      <c r="B33" s="26">
        <v>1</v>
      </c>
      <c r="C33" s="25">
        <v>0</v>
      </c>
      <c r="D33" s="26">
        <v>0</v>
      </c>
      <c r="E33" s="25">
        <v>1</v>
      </c>
      <c r="F33" s="26">
        <v>0</v>
      </c>
      <c r="G33" s="25">
        <v>0</v>
      </c>
      <c r="H33" s="26">
        <v>0</v>
      </c>
      <c r="I33" s="25">
        <v>1</v>
      </c>
      <c r="J33" s="26">
        <v>0</v>
      </c>
      <c r="K33" s="25">
        <v>1</v>
      </c>
      <c r="L33" s="26">
        <v>0</v>
      </c>
      <c r="M33" s="25">
        <v>0</v>
      </c>
      <c r="P33" s="137" t="s">
        <v>340</v>
      </c>
    </row>
    <row r="34" spans="1:16" x14ac:dyDescent="0.3">
      <c r="A34" s="33" t="s">
        <v>267</v>
      </c>
      <c r="B34" s="26">
        <v>0</v>
      </c>
      <c r="C34" s="25">
        <v>1</v>
      </c>
      <c r="D34" s="26">
        <v>1</v>
      </c>
      <c r="E34" s="25">
        <v>0</v>
      </c>
      <c r="F34" s="26">
        <v>0</v>
      </c>
      <c r="G34" s="25">
        <v>0</v>
      </c>
      <c r="H34" s="26">
        <v>0</v>
      </c>
      <c r="I34" s="25">
        <v>0</v>
      </c>
      <c r="J34" s="26">
        <v>0</v>
      </c>
      <c r="K34" s="25">
        <v>0</v>
      </c>
      <c r="L34" s="26">
        <v>0</v>
      </c>
      <c r="M34" s="25">
        <v>0</v>
      </c>
      <c r="P34" s="137" t="s">
        <v>341</v>
      </c>
    </row>
    <row r="35" spans="1:16" x14ac:dyDescent="0.3">
      <c r="A35" s="33"/>
      <c r="B35" s="26">
        <v>0</v>
      </c>
      <c r="C35" s="25">
        <v>1</v>
      </c>
      <c r="D35" s="26">
        <v>1</v>
      </c>
      <c r="E35" s="25">
        <v>0</v>
      </c>
      <c r="F35" s="26">
        <v>0</v>
      </c>
      <c r="G35" s="25">
        <v>0</v>
      </c>
      <c r="H35" s="36">
        <v>0</v>
      </c>
      <c r="I35" s="25">
        <v>0</v>
      </c>
      <c r="J35" s="26">
        <v>0</v>
      </c>
      <c r="K35" s="25">
        <v>0</v>
      </c>
      <c r="L35" s="26">
        <v>0</v>
      </c>
      <c r="M35" s="25">
        <v>0</v>
      </c>
      <c r="P35" s="137" t="s">
        <v>342</v>
      </c>
    </row>
    <row r="36" spans="1:16" x14ac:dyDescent="0.3">
      <c r="A36" s="33" t="s">
        <v>268</v>
      </c>
      <c r="B36" s="12">
        <v>1</v>
      </c>
      <c r="C36" s="16">
        <v>0</v>
      </c>
      <c r="D36" s="18">
        <v>0</v>
      </c>
      <c r="E36" s="16">
        <v>0</v>
      </c>
      <c r="F36" s="18">
        <v>0</v>
      </c>
      <c r="G36" s="18">
        <v>0</v>
      </c>
      <c r="H36" s="26">
        <v>0</v>
      </c>
      <c r="I36" s="25">
        <v>0</v>
      </c>
      <c r="J36" s="43">
        <v>0</v>
      </c>
      <c r="K36" s="18">
        <v>0</v>
      </c>
      <c r="L36" s="48">
        <v>0</v>
      </c>
      <c r="M36" s="50">
        <v>0</v>
      </c>
      <c r="P36" s="137" t="s">
        <v>343</v>
      </c>
    </row>
    <row r="37" spans="1:16" x14ac:dyDescent="0.3">
      <c r="A37" s="33" t="s">
        <v>269</v>
      </c>
      <c r="B37" s="12">
        <v>0</v>
      </c>
      <c r="C37" s="16">
        <v>1</v>
      </c>
      <c r="D37" s="18">
        <v>1</v>
      </c>
      <c r="E37" s="16">
        <v>0</v>
      </c>
      <c r="F37" s="18">
        <v>0</v>
      </c>
      <c r="G37" s="18">
        <v>0</v>
      </c>
      <c r="H37" s="26">
        <v>0</v>
      </c>
      <c r="I37" s="25">
        <v>0</v>
      </c>
      <c r="J37" s="43">
        <v>0</v>
      </c>
      <c r="K37" s="18">
        <v>0</v>
      </c>
      <c r="L37" s="48">
        <v>0</v>
      </c>
      <c r="M37" s="50">
        <v>0</v>
      </c>
      <c r="P37" s="137" t="s">
        <v>344</v>
      </c>
    </row>
    <row r="38" spans="1:16" x14ac:dyDescent="0.3">
      <c r="A38" s="33"/>
      <c r="B38" s="12">
        <v>0</v>
      </c>
      <c r="C38" s="16">
        <v>1</v>
      </c>
      <c r="D38" s="18">
        <v>1</v>
      </c>
      <c r="E38" s="16">
        <v>0</v>
      </c>
      <c r="F38" s="18">
        <v>0</v>
      </c>
      <c r="G38" s="18">
        <v>0</v>
      </c>
      <c r="H38" s="26">
        <v>0</v>
      </c>
      <c r="I38" s="25">
        <v>1</v>
      </c>
      <c r="J38" s="43">
        <v>0</v>
      </c>
      <c r="K38" s="18">
        <v>1</v>
      </c>
      <c r="L38" s="48">
        <v>0</v>
      </c>
      <c r="M38" s="50">
        <v>0</v>
      </c>
      <c r="P38" s="137" t="s">
        <v>345</v>
      </c>
    </row>
    <row r="39" spans="1:16" ht="21" thickBot="1" x14ac:dyDescent="0.35">
      <c r="A39" s="33" t="s">
        <v>270</v>
      </c>
      <c r="B39" s="12">
        <v>0</v>
      </c>
      <c r="C39" s="16">
        <v>1</v>
      </c>
      <c r="D39" s="18">
        <v>1</v>
      </c>
      <c r="E39" s="16">
        <v>0</v>
      </c>
      <c r="F39" s="18">
        <v>0</v>
      </c>
      <c r="G39" s="18">
        <v>0</v>
      </c>
      <c r="H39" s="26">
        <v>0</v>
      </c>
      <c r="I39" s="25">
        <v>0</v>
      </c>
      <c r="J39" s="43">
        <v>0</v>
      </c>
      <c r="K39" s="18">
        <v>0</v>
      </c>
      <c r="L39" s="48">
        <v>0</v>
      </c>
      <c r="M39" s="50">
        <v>0</v>
      </c>
      <c r="P39" s="137" t="s">
        <v>346</v>
      </c>
    </row>
    <row r="40" spans="1:16" ht="22" thickTop="1" thickBot="1" x14ac:dyDescent="0.35">
      <c r="A40" s="31" t="s">
        <v>33</v>
      </c>
      <c r="B40" s="32">
        <f t="shared" ref="B40:M40" si="7">SUM(B23:B39)</f>
        <v>7</v>
      </c>
      <c r="C40" s="32">
        <f t="shared" si="7"/>
        <v>8</v>
      </c>
      <c r="D40" s="32">
        <f t="shared" si="7"/>
        <v>8</v>
      </c>
      <c r="E40" s="32">
        <f t="shared" si="7"/>
        <v>1</v>
      </c>
      <c r="F40" s="32">
        <f t="shared" si="7"/>
        <v>2</v>
      </c>
      <c r="G40" s="32">
        <f t="shared" si="7"/>
        <v>0</v>
      </c>
      <c r="H40" s="32">
        <f t="shared" si="7"/>
        <v>0</v>
      </c>
      <c r="I40" s="32">
        <f t="shared" si="7"/>
        <v>3</v>
      </c>
      <c r="J40" s="32">
        <f t="shared" si="7"/>
        <v>0</v>
      </c>
      <c r="K40" s="32">
        <f t="shared" si="7"/>
        <v>2</v>
      </c>
      <c r="L40" s="32">
        <f t="shared" si="7"/>
        <v>0</v>
      </c>
      <c r="M40" s="32">
        <f t="shared" si="7"/>
        <v>0</v>
      </c>
      <c r="P40" s="137" t="s">
        <v>347</v>
      </c>
    </row>
    <row r="41" spans="1:16" ht="21" thickTop="1" x14ac:dyDescent="0.3">
      <c r="A41" s="88"/>
      <c r="B41" s="88" t="s">
        <v>35</v>
      </c>
      <c r="C41" s="88" t="s">
        <v>37</v>
      </c>
      <c r="D41" s="88" t="s">
        <v>35</v>
      </c>
      <c r="E41" s="88" t="s">
        <v>37</v>
      </c>
      <c r="F41" s="88" t="s">
        <v>35</v>
      </c>
      <c r="G41" s="88" t="s">
        <v>37</v>
      </c>
      <c r="H41" s="88" t="s">
        <v>35</v>
      </c>
      <c r="I41" s="88" t="s">
        <v>37</v>
      </c>
      <c r="J41" s="88" t="s">
        <v>35</v>
      </c>
      <c r="K41" s="88" t="s">
        <v>37</v>
      </c>
      <c r="L41" s="88" t="s">
        <v>35</v>
      </c>
      <c r="M41" s="88" t="s">
        <v>37</v>
      </c>
      <c r="P41" s="137" t="s">
        <v>348</v>
      </c>
    </row>
    <row r="42" spans="1:16" x14ac:dyDescent="0.3">
      <c r="A42" s="41" t="s">
        <v>42</v>
      </c>
      <c r="B42" s="42">
        <f t="shared" ref="B42:M42" si="8">AVERAGE(B23:B39)</f>
        <v>0.41176470588235292</v>
      </c>
      <c r="C42" s="42">
        <f t="shared" si="8"/>
        <v>0.47058823529411764</v>
      </c>
      <c r="D42" s="42">
        <f t="shared" si="8"/>
        <v>0.47058823529411764</v>
      </c>
      <c r="E42" s="42">
        <f t="shared" si="8"/>
        <v>5.8823529411764705E-2</v>
      </c>
      <c r="F42" s="42">
        <f t="shared" si="8"/>
        <v>0.11764705882352941</v>
      </c>
      <c r="G42" s="42">
        <f t="shared" si="8"/>
        <v>0</v>
      </c>
      <c r="H42" s="42">
        <f t="shared" si="8"/>
        <v>0</v>
      </c>
      <c r="I42" s="42">
        <f t="shared" si="8"/>
        <v>0.17647058823529413</v>
      </c>
      <c r="J42" s="42">
        <f t="shared" si="8"/>
        <v>0</v>
      </c>
      <c r="K42" s="42">
        <f t="shared" si="8"/>
        <v>0.11764705882352941</v>
      </c>
      <c r="L42" s="42">
        <f t="shared" si="8"/>
        <v>0</v>
      </c>
      <c r="M42" s="42">
        <f t="shared" si="8"/>
        <v>0</v>
      </c>
      <c r="P42" s="137" t="s">
        <v>349</v>
      </c>
    </row>
    <row r="43" spans="1:16" x14ac:dyDescent="0.3">
      <c r="A43" s="1" t="s">
        <v>44</v>
      </c>
      <c r="B43" s="121">
        <f>SUM(B42,C42)</f>
        <v>0.88235294117647056</v>
      </c>
      <c r="C43" s="122"/>
      <c r="D43" s="121">
        <f t="shared" ref="D43" si="9">SUM(D42,E42)</f>
        <v>0.52941176470588236</v>
      </c>
      <c r="E43" s="122"/>
      <c r="F43" s="121">
        <f t="shared" ref="F43" si="10">SUM(F42,G42)</f>
        <v>0.11764705882352941</v>
      </c>
      <c r="G43" s="122"/>
      <c r="H43" s="121">
        <f t="shared" ref="H43" si="11">SUM(H42,I42)</f>
        <v>0.17647058823529413</v>
      </c>
      <c r="I43" s="122"/>
      <c r="J43" s="121">
        <f t="shared" ref="J43" si="12">SUM(J42,K42)</f>
        <v>0.11764705882352941</v>
      </c>
      <c r="K43" s="122"/>
      <c r="L43" s="121">
        <f t="shared" ref="L43" si="13">SUM(L42,M42)</f>
        <v>0</v>
      </c>
      <c r="M43" s="122"/>
      <c r="P43" s="137" t="s">
        <v>350</v>
      </c>
    </row>
    <row r="44" spans="1:16" ht="21" thickBot="1" x14ac:dyDescent="0.35">
      <c r="P44" s="137" t="s">
        <v>351</v>
      </c>
    </row>
    <row r="45" spans="1:16" ht="22" thickTop="1" thickBot="1" x14ac:dyDescent="0.35">
      <c r="A45" s="54" t="s">
        <v>60</v>
      </c>
      <c r="B45" s="116" t="s">
        <v>12</v>
      </c>
      <c r="C45" s="117"/>
      <c r="D45" s="117"/>
      <c r="E45" s="117"/>
      <c r="F45" s="117"/>
      <c r="G45" s="117"/>
      <c r="H45" s="117"/>
      <c r="I45" s="117"/>
      <c r="J45" s="117"/>
      <c r="K45" s="117"/>
      <c r="L45" s="117"/>
      <c r="M45" s="118"/>
      <c r="P45" s="137" t="s">
        <v>293</v>
      </c>
    </row>
    <row r="46" spans="1:16" ht="21" thickBot="1" x14ac:dyDescent="0.35">
      <c r="A46" s="56" t="s">
        <v>4</v>
      </c>
      <c r="B46" s="126" t="s">
        <v>251</v>
      </c>
      <c r="C46" s="127"/>
      <c r="D46" s="126" t="s">
        <v>252</v>
      </c>
      <c r="E46" s="127"/>
      <c r="F46" s="126" t="s">
        <v>259</v>
      </c>
      <c r="G46" s="127"/>
      <c r="H46" s="126" t="s">
        <v>254</v>
      </c>
      <c r="I46" s="127"/>
      <c r="J46" s="126" t="s">
        <v>261</v>
      </c>
      <c r="K46" s="127"/>
      <c r="L46" s="128" t="s">
        <v>272</v>
      </c>
      <c r="M46" s="128"/>
      <c r="P46" s="137" t="s">
        <v>352</v>
      </c>
    </row>
    <row r="47" spans="1:16" ht="21" thickTop="1" x14ac:dyDescent="0.3">
      <c r="A47" s="58" t="s">
        <v>271</v>
      </c>
      <c r="B47" s="59">
        <v>1</v>
      </c>
      <c r="C47" s="59">
        <v>0</v>
      </c>
      <c r="D47" s="59">
        <v>0</v>
      </c>
      <c r="E47" s="59">
        <v>0</v>
      </c>
      <c r="F47" s="59">
        <v>0</v>
      </c>
      <c r="G47" s="59">
        <v>0</v>
      </c>
      <c r="H47" s="59">
        <v>0</v>
      </c>
      <c r="I47" s="59">
        <v>0</v>
      </c>
      <c r="J47" s="59">
        <v>0</v>
      </c>
      <c r="K47" s="59">
        <v>0</v>
      </c>
      <c r="L47" s="59">
        <v>0</v>
      </c>
      <c r="M47" s="59">
        <v>1</v>
      </c>
    </row>
    <row r="48" spans="1:16" x14ac:dyDescent="0.3">
      <c r="A48" s="58"/>
      <c r="B48" s="59">
        <v>1</v>
      </c>
      <c r="C48" s="60">
        <v>0</v>
      </c>
      <c r="D48" s="59">
        <v>0</v>
      </c>
      <c r="E48" s="60">
        <v>0</v>
      </c>
      <c r="F48" s="69">
        <v>0</v>
      </c>
      <c r="G48" s="69">
        <v>0</v>
      </c>
      <c r="H48" s="70">
        <v>0</v>
      </c>
      <c r="I48" s="71">
        <v>0</v>
      </c>
      <c r="J48" s="69">
        <v>0</v>
      </c>
      <c r="K48" s="69">
        <v>0</v>
      </c>
      <c r="L48" s="70">
        <v>0</v>
      </c>
      <c r="M48" s="72">
        <v>0</v>
      </c>
    </row>
    <row r="49" spans="1:14" x14ac:dyDescent="0.3">
      <c r="A49" s="58" t="s">
        <v>273</v>
      </c>
      <c r="B49" s="59">
        <v>1</v>
      </c>
      <c r="C49" s="60">
        <v>0</v>
      </c>
      <c r="D49" s="59">
        <v>0</v>
      </c>
      <c r="E49" s="60">
        <v>0</v>
      </c>
      <c r="F49" s="69">
        <v>0</v>
      </c>
      <c r="G49" s="69">
        <v>0</v>
      </c>
      <c r="H49" s="70">
        <v>0</v>
      </c>
      <c r="I49" s="71">
        <v>0</v>
      </c>
      <c r="J49" s="69">
        <v>0</v>
      </c>
      <c r="K49" s="69">
        <v>0</v>
      </c>
      <c r="L49" s="70">
        <v>0</v>
      </c>
      <c r="M49" s="72">
        <v>0</v>
      </c>
    </row>
    <row r="50" spans="1:14" x14ac:dyDescent="0.3">
      <c r="A50" s="58"/>
      <c r="B50" s="59">
        <v>1</v>
      </c>
      <c r="C50" s="60">
        <v>0</v>
      </c>
      <c r="D50" s="59">
        <v>0</v>
      </c>
      <c r="E50" s="60">
        <v>0</v>
      </c>
      <c r="F50" s="69">
        <v>0</v>
      </c>
      <c r="G50" s="69">
        <v>0</v>
      </c>
      <c r="H50" s="70">
        <v>0</v>
      </c>
      <c r="I50" s="71">
        <v>0</v>
      </c>
      <c r="J50" s="69">
        <v>0</v>
      </c>
      <c r="K50" s="69">
        <v>0</v>
      </c>
      <c r="L50" s="70">
        <v>0</v>
      </c>
      <c r="M50" s="72">
        <v>0</v>
      </c>
    </row>
    <row r="51" spans="1:14" x14ac:dyDescent="0.3">
      <c r="A51" s="58"/>
      <c r="B51" s="59">
        <v>1</v>
      </c>
      <c r="C51" s="60">
        <v>0</v>
      </c>
      <c r="D51" s="59">
        <v>0</v>
      </c>
      <c r="E51" s="60">
        <v>0</v>
      </c>
      <c r="F51" s="69">
        <v>0</v>
      </c>
      <c r="G51" s="69">
        <v>0</v>
      </c>
      <c r="H51" s="70">
        <v>0</v>
      </c>
      <c r="I51" s="71">
        <v>0</v>
      </c>
      <c r="J51" s="69">
        <v>0</v>
      </c>
      <c r="K51" s="69">
        <v>0</v>
      </c>
      <c r="L51" s="70">
        <v>0</v>
      </c>
      <c r="M51" s="72">
        <v>0</v>
      </c>
    </row>
    <row r="52" spans="1:14" x14ac:dyDescent="0.3">
      <c r="A52" s="58"/>
      <c r="B52" s="59">
        <v>1</v>
      </c>
      <c r="C52" s="60">
        <v>0</v>
      </c>
      <c r="D52" s="59">
        <v>0</v>
      </c>
      <c r="E52" s="60">
        <v>0</v>
      </c>
      <c r="F52" s="69">
        <v>0</v>
      </c>
      <c r="G52" s="69">
        <v>0</v>
      </c>
      <c r="H52" s="70">
        <v>0</v>
      </c>
      <c r="I52" s="71">
        <v>0</v>
      </c>
      <c r="J52" s="69">
        <v>0</v>
      </c>
      <c r="K52" s="69">
        <v>0</v>
      </c>
      <c r="L52" s="70">
        <v>0</v>
      </c>
      <c r="M52" s="72">
        <v>0</v>
      </c>
    </row>
    <row r="53" spans="1:14" x14ac:dyDescent="0.3">
      <c r="A53" s="58"/>
      <c r="B53" s="59">
        <v>1</v>
      </c>
      <c r="C53" s="60">
        <v>0</v>
      </c>
      <c r="D53" s="59">
        <v>0</v>
      </c>
      <c r="E53" s="60">
        <v>0</v>
      </c>
      <c r="F53" s="69">
        <v>0</v>
      </c>
      <c r="G53" s="69">
        <v>0</v>
      </c>
      <c r="H53" s="70">
        <v>0</v>
      </c>
      <c r="I53" s="71">
        <v>0</v>
      </c>
      <c r="J53" s="69">
        <v>0</v>
      </c>
      <c r="K53" s="69">
        <v>0</v>
      </c>
      <c r="L53" s="70">
        <v>0</v>
      </c>
      <c r="M53" s="72">
        <v>0</v>
      </c>
    </row>
    <row r="54" spans="1:14" x14ac:dyDescent="0.3">
      <c r="A54" s="58"/>
      <c r="B54" s="59">
        <v>1</v>
      </c>
      <c r="C54" s="60">
        <v>0</v>
      </c>
      <c r="D54" s="59">
        <v>0</v>
      </c>
      <c r="E54" s="60">
        <v>0</v>
      </c>
      <c r="F54" s="69">
        <v>0</v>
      </c>
      <c r="G54" s="69">
        <v>0</v>
      </c>
      <c r="H54" s="70">
        <v>0</v>
      </c>
      <c r="I54" s="71">
        <v>0</v>
      </c>
      <c r="J54" s="69">
        <v>0</v>
      </c>
      <c r="K54" s="69">
        <v>0</v>
      </c>
      <c r="L54" s="70">
        <v>0</v>
      </c>
      <c r="M54" s="72">
        <v>0</v>
      </c>
    </row>
    <row r="55" spans="1:14" x14ac:dyDescent="0.3">
      <c r="A55" s="58"/>
      <c r="B55" s="59">
        <v>1</v>
      </c>
      <c r="C55" s="60">
        <v>0</v>
      </c>
      <c r="D55" s="59">
        <v>0</v>
      </c>
      <c r="E55" s="60">
        <v>0</v>
      </c>
      <c r="F55" s="69">
        <v>0</v>
      </c>
      <c r="G55" s="69">
        <v>0</v>
      </c>
      <c r="H55" s="70">
        <v>0</v>
      </c>
      <c r="I55" s="71">
        <v>0</v>
      </c>
      <c r="J55" s="69">
        <v>0</v>
      </c>
      <c r="K55" s="69">
        <v>0</v>
      </c>
      <c r="L55" s="70">
        <v>0</v>
      </c>
      <c r="M55" s="72">
        <v>0</v>
      </c>
    </row>
    <row r="56" spans="1:14" x14ac:dyDescent="0.3">
      <c r="A56" s="58"/>
      <c r="B56" s="59">
        <v>1</v>
      </c>
      <c r="C56" s="60">
        <v>0</v>
      </c>
      <c r="D56" s="59">
        <v>0</v>
      </c>
      <c r="E56" s="60">
        <v>0</v>
      </c>
      <c r="F56" s="69">
        <v>0</v>
      </c>
      <c r="G56" s="69">
        <v>0</v>
      </c>
      <c r="H56" s="70">
        <v>0</v>
      </c>
      <c r="I56" s="71">
        <v>0</v>
      </c>
      <c r="J56" s="69">
        <v>0</v>
      </c>
      <c r="K56" s="69">
        <v>0</v>
      </c>
      <c r="L56" s="70">
        <v>0</v>
      </c>
      <c r="M56" s="72">
        <v>0</v>
      </c>
    </row>
    <row r="57" spans="1:14" x14ac:dyDescent="0.3">
      <c r="A57" s="58" t="s">
        <v>274</v>
      </c>
      <c r="B57" s="59">
        <v>0</v>
      </c>
      <c r="C57" s="60">
        <v>0</v>
      </c>
      <c r="D57" s="59">
        <v>0</v>
      </c>
      <c r="E57" s="60">
        <v>0</v>
      </c>
      <c r="F57" s="69">
        <v>0</v>
      </c>
      <c r="G57" s="69">
        <v>0</v>
      </c>
      <c r="H57" s="60">
        <v>1</v>
      </c>
      <c r="I57" s="60">
        <v>0</v>
      </c>
      <c r="J57" s="60">
        <v>0</v>
      </c>
      <c r="K57" s="60">
        <v>0</v>
      </c>
      <c r="L57" s="60">
        <v>0</v>
      </c>
      <c r="M57" s="72">
        <v>0</v>
      </c>
    </row>
    <row r="58" spans="1:14" x14ac:dyDescent="0.3">
      <c r="A58" s="58"/>
      <c r="B58" s="59">
        <v>0</v>
      </c>
      <c r="C58" s="59">
        <v>0</v>
      </c>
      <c r="D58" s="60">
        <v>1</v>
      </c>
      <c r="E58" s="59">
        <v>0</v>
      </c>
      <c r="F58" s="60">
        <v>0</v>
      </c>
      <c r="G58" s="69">
        <v>0</v>
      </c>
      <c r="H58" s="69">
        <v>0</v>
      </c>
      <c r="I58" s="60">
        <v>0</v>
      </c>
      <c r="J58" s="60">
        <v>0</v>
      </c>
      <c r="K58" s="60">
        <v>0</v>
      </c>
      <c r="L58" s="60">
        <v>1</v>
      </c>
      <c r="M58" s="60">
        <v>0</v>
      </c>
      <c r="N58" s="72">
        <v>0</v>
      </c>
    </row>
    <row r="59" spans="1:14" x14ac:dyDescent="0.3">
      <c r="A59" s="58"/>
      <c r="B59" s="59">
        <v>1</v>
      </c>
      <c r="C59" s="60">
        <v>0</v>
      </c>
      <c r="D59" s="59">
        <v>0</v>
      </c>
      <c r="E59" s="76">
        <v>0</v>
      </c>
      <c r="F59" s="69">
        <v>0</v>
      </c>
      <c r="G59" s="69">
        <v>0</v>
      </c>
      <c r="H59" s="75">
        <v>0</v>
      </c>
      <c r="I59" s="76">
        <v>0</v>
      </c>
      <c r="J59" s="59">
        <v>0</v>
      </c>
      <c r="K59" s="59">
        <v>0</v>
      </c>
      <c r="L59" s="75">
        <v>0</v>
      </c>
      <c r="M59" s="84">
        <v>0</v>
      </c>
    </row>
    <row r="60" spans="1:14" x14ac:dyDescent="0.3">
      <c r="A60" s="58"/>
      <c r="B60" s="59">
        <v>0</v>
      </c>
      <c r="C60" s="60">
        <v>1</v>
      </c>
      <c r="D60" s="59">
        <v>1</v>
      </c>
      <c r="E60" s="60">
        <v>0</v>
      </c>
      <c r="F60" s="69">
        <v>0</v>
      </c>
      <c r="G60" s="69">
        <v>0</v>
      </c>
      <c r="H60" s="77">
        <v>0</v>
      </c>
      <c r="I60" s="60">
        <v>1</v>
      </c>
      <c r="J60" s="59">
        <v>0</v>
      </c>
      <c r="K60" s="59">
        <v>0</v>
      </c>
      <c r="L60" s="77">
        <v>0</v>
      </c>
      <c r="M60" s="85">
        <v>0</v>
      </c>
    </row>
    <row r="61" spans="1:14" x14ac:dyDescent="0.3">
      <c r="A61" s="58" t="s">
        <v>275</v>
      </c>
      <c r="B61" s="59">
        <v>1</v>
      </c>
      <c r="C61" s="60">
        <v>0</v>
      </c>
      <c r="D61" s="59">
        <v>0</v>
      </c>
      <c r="E61" s="60">
        <v>0</v>
      </c>
      <c r="F61" s="69">
        <v>0</v>
      </c>
      <c r="G61" s="69">
        <v>0</v>
      </c>
      <c r="H61" s="77">
        <v>0</v>
      </c>
      <c r="I61" s="60">
        <v>0</v>
      </c>
      <c r="J61" s="59">
        <v>0</v>
      </c>
      <c r="K61" s="59">
        <v>0</v>
      </c>
      <c r="L61" s="77">
        <v>0</v>
      </c>
      <c r="M61" s="85">
        <v>0</v>
      </c>
    </row>
    <row r="62" spans="1:14" x14ac:dyDescent="0.3">
      <c r="A62" s="58"/>
      <c r="B62" s="59">
        <v>1</v>
      </c>
      <c r="C62" s="60">
        <v>0</v>
      </c>
      <c r="D62" s="59">
        <v>0</v>
      </c>
      <c r="E62" s="60">
        <v>0</v>
      </c>
      <c r="F62" s="69">
        <v>0</v>
      </c>
      <c r="G62" s="69">
        <v>0</v>
      </c>
      <c r="H62" s="77">
        <v>0</v>
      </c>
      <c r="I62" s="60">
        <v>0</v>
      </c>
      <c r="J62" s="59">
        <v>0</v>
      </c>
      <c r="K62" s="59">
        <v>0</v>
      </c>
      <c r="L62" s="77">
        <v>0</v>
      </c>
      <c r="M62" s="85">
        <v>0</v>
      </c>
    </row>
    <row r="63" spans="1:14" x14ac:dyDescent="0.3">
      <c r="A63" s="58" t="s">
        <v>276</v>
      </c>
      <c r="B63" s="59">
        <v>1</v>
      </c>
      <c r="C63" s="60">
        <v>0</v>
      </c>
      <c r="D63" s="59">
        <v>0</v>
      </c>
      <c r="E63" s="60">
        <v>0</v>
      </c>
      <c r="F63" s="69">
        <v>0</v>
      </c>
      <c r="G63" s="69">
        <v>0</v>
      </c>
      <c r="H63" s="77">
        <v>0</v>
      </c>
      <c r="I63" s="60">
        <v>0</v>
      </c>
      <c r="J63" s="59">
        <v>0</v>
      </c>
      <c r="K63" s="59">
        <v>0</v>
      </c>
      <c r="L63" s="77">
        <v>0</v>
      </c>
      <c r="M63" s="85">
        <v>0</v>
      </c>
    </row>
    <row r="64" spans="1:14" x14ac:dyDescent="0.3">
      <c r="A64" s="58"/>
      <c r="B64" s="59">
        <v>1</v>
      </c>
      <c r="C64" s="60">
        <v>0</v>
      </c>
      <c r="D64" s="59">
        <v>0</v>
      </c>
      <c r="E64" s="60">
        <v>0</v>
      </c>
      <c r="F64" s="69">
        <v>0</v>
      </c>
      <c r="G64" s="69">
        <v>0</v>
      </c>
      <c r="H64" s="77">
        <v>0</v>
      </c>
      <c r="I64" s="60">
        <v>0</v>
      </c>
      <c r="J64" s="59">
        <v>0</v>
      </c>
      <c r="K64" s="59">
        <v>0</v>
      </c>
      <c r="L64" s="77">
        <v>0</v>
      </c>
      <c r="M64" s="85">
        <v>0</v>
      </c>
    </row>
    <row r="65" spans="1:13" x14ac:dyDescent="0.3">
      <c r="A65" s="58"/>
      <c r="B65" s="59">
        <v>1</v>
      </c>
      <c r="C65" s="60">
        <v>0</v>
      </c>
      <c r="D65" s="59">
        <v>0</v>
      </c>
      <c r="E65" s="60">
        <v>0</v>
      </c>
      <c r="F65" s="69">
        <v>0</v>
      </c>
      <c r="G65" s="69">
        <v>0</v>
      </c>
      <c r="H65" s="77">
        <v>0</v>
      </c>
      <c r="I65" s="60">
        <v>0</v>
      </c>
      <c r="J65" s="59">
        <v>0</v>
      </c>
      <c r="K65" s="59">
        <v>0</v>
      </c>
      <c r="L65" s="77">
        <v>0</v>
      </c>
      <c r="M65" s="85">
        <v>0</v>
      </c>
    </row>
    <row r="66" spans="1:13" x14ac:dyDescent="0.3">
      <c r="A66" s="58"/>
      <c r="B66" s="59">
        <v>1</v>
      </c>
      <c r="C66" s="60">
        <v>0</v>
      </c>
      <c r="D66" s="59">
        <v>0</v>
      </c>
      <c r="E66" s="60">
        <v>0</v>
      </c>
      <c r="F66" s="69">
        <v>0</v>
      </c>
      <c r="G66" s="69">
        <v>0</v>
      </c>
      <c r="H66" s="77">
        <v>0</v>
      </c>
      <c r="I66" s="60">
        <v>0</v>
      </c>
      <c r="J66" s="59">
        <v>0</v>
      </c>
      <c r="K66" s="59">
        <v>0</v>
      </c>
      <c r="L66" s="77">
        <v>0</v>
      </c>
      <c r="M66" s="85">
        <v>0</v>
      </c>
    </row>
    <row r="67" spans="1:13" x14ac:dyDescent="0.3">
      <c r="A67" s="58"/>
      <c r="B67" s="59">
        <v>1</v>
      </c>
      <c r="C67" s="60">
        <v>0</v>
      </c>
      <c r="D67" s="59">
        <v>0</v>
      </c>
      <c r="E67" s="60">
        <v>0</v>
      </c>
      <c r="F67" s="69">
        <v>0</v>
      </c>
      <c r="G67" s="69">
        <v>0</v>
      </c>
      <c r="H67" s="77">
        <v>0</v>
      </c>
      <c r="I67" s="60">
        <v>0</v>
      </c>
      <c r="J67" s="59">
        <v>0</v>
      </c>
      <c r="K67" s="59">
        <v>0</v>
      </c>
      <c r="L67" s="77">
        <v>0</v>
      </c>
      <c r="M67" s="85">
        <v>0</v>
      </c>
    </row>
    <row r="68" spans="1:13" x14ac:dyDescent="0.3">
      <c r="A68" s="58"/>
      <c r="B68" s="59">
        <v>1</v>
      </c>
      <c r="C68" s="60">
        <v>0</v>
      </c>
      <c r="D68" s="59">
        <v>0</v>
      </c>
      <c r="E68" s="60">
        <v>0</v>
      </c>
      <c r="F68" s="69">
        <v>0</v>
      </c>
      <c r="G68" s="69">
        <v>0</v>
      </c>
      <c r="H68" s="77">
        <v>0</v>
      </c>
      <c r="I68" s="60">
        <v>0</v>
      </c>
      <c r="J68" s="59">
        <v>0</v>
      </c>
      <c r="K68" s="59">
        <v>0</v>
      </c>
      <c r="L68" s="77">
        <v>0</v>
      </c>
      <c r="M68" s="85">
        <v>0</v>
      </c>
    </row>
    <row r="69" spans="1:13" x14ac:dyDescent="0.3">
      <c r="A69" s="58"/>
      <c r="B69" s="59">
        <v>1</v>
      </c>
      <c r="C69" s="60">
        <v>0</v>
      </c>
      <c r="D69" s="59">
        <v>0</v>
      </c>
      <c r="E69" s="60">
        <v>0</v>
      </c>
      <c r="F69" s="69">
        <v>0</v>
      </c>
      <c r="G69" s="69">
        <v>0</v>
      </c>
      <c r="H69" s="77">
        <v>0</v>
      </c>
      <c r="I69" s="60">
        <v>0</v>
      </c>
      <c r="J69" s="59">
        <v>0</v>
      </c>
      <c r="K69" s="59">
        <v>0</v>
      </c>
      <c r="L69" s="77">
        <v>0</v>
      </c>
      <c r="M69" s="85">
        <v>0</v>
      </c>
    </row>
    <row r="70" spans="1:13" x14ac:dyDescent="0.3">
      <c r="A70" s="58" t="s">
        <v>277</v>
      </c>
      <c r="B70" s="59">
        <v>1</v>
      </c>
      <c r="C70" s="60">
        <v>0</v>
      </c>
      <c r="D70" s="59">
        <v>0</v>
      </c>
      <c r="E70" s="60">
        <v>0</v>
      </c>
      <c r="F70" s="69">
        <v>0</v>
      </c>
      <c r="G70" s="69">
        <v>0</v>
      </c>
      <c r="H70" s="77">
        <v>0</v>
      </c>
      <c r="I70" s="60">
        <v>0</v>
      </c>
      <c r="J70" s="59">
        <v>0</v>
      </c>
      <c r="K70" s="59">
        <v>0</v>
      </c>
      <c r="L70" s="77">
        <v>0</v>
      </c>
      <c r="M70" s="85">
        <v>0</v>
      </c>
    </row>
    <row r="71" spans="1:13" x14ac:dyDescent="0.3">
      <c r="A71" s="58" t="s">
        <v>278</v>
      </c>
      <c r="B71" s="59">
        <v>1</v>
      </c>
      <c r="C71" s="60">
        <v>0</v>
      </c>
      <c r="D71" s="77">
        <v>0</v>
      </c>
      <c r="E71" s="60">
        <v>0</v>
      </c>
      <c r="F71" s="69">
        <v>0</v>
      </c>
      <c r="G71" s="69">
        <v>0</v>
      </c>
      <c r="H71" s="77">
        <v>0</v>
      </c>
      <c r="I71" s="60">
        <v>0</v>
      </c>
      <c r="J71" s="59">
        <v>0</v>
      </c>
      <c r="K71" s="59">
        <v>0</v>
      </c>
      <c r="L71" s="77">
        <v>0</v>
      </c>
      <c r="M71" s="85">
        <v>0</v>
      </c>
    </row>
    <row r="72" spans="1:13" x14ac:dyDescent="0.3">
      <c r="A72" s="58" t="s">
        <v>257</v>
      </c>
      <c r="B72" s="59">
        <v>1</v>
      </c>
      <c r="C72" s="60">
        <v>0</v>
      </c>
      <c r="D72" s="77">
        <v>0</v>
      </c>
      <c r="E72" s="60">
        <v>0</v>
      </c>
      <c r="F72" s="69">
        <v>0</v>
      </c>
      <c r="G72" s="69">
        <v>0</v>
      </c>
      <c r="H72" s="77">
        <v>0</v>
      </c>
      <c r="I72" s="60">
        <v>0</v>
      </c>
      <c r="J72" s="59">
        <v>0</v>
      </c>
      <c r="K72" s="59">
        <v>0</v>
      </c>
      <c r="L72" s="77">
        <v>0</v>
      </c>
      <c r="M72" s="85">
        <v>0</v>
      </c>
    </row>
    <row r="73" spans="1:13" x14ac:dyDescent="0.3">
      <c r="A73" s="58" t="s">
        <v>279</v>
      </c>
      <c r="B73" s="59">
        <v>1</v>
      </c>
      <c r="C73" s="60">
        <v>0</v>
      </c>
      <c r="D73" s="77">
        <v>0</v>
      </c>
      <c r="E73" s="60">
        <v>0</v>
      </c>
      <c r="F73" s="69">
        <v>0</v>
      </c>
      <c r="G73" s="69">
        <v>0</v>
      </c>
      <c r="H73" s="77">
        <v>0</v>
      </c>
      <c r="I73" s="60">
        <v>0</v>
      </c>
      <c r="J73" s="59">
        <v>0</v>
      </c>
      <c r="K73" s="59">
        <v>0</v>
      </c>
      <c r="L73" s="77">
        <v>0</v>
      </c>
      <c r="M73" s="85">
        <v>0</v>
      </c>
    </row>
    <row r="74" spans="1:13" x14ac:dyDescent="0.3">
      <c r="A74" s="58"/>
      <c r="B74" s="59">
        <v>1</v>
      </c>
      <c r="C74" s="60">
        <v>0</v>
      </c>
      <c r="D74" s="77">
        <v>0</v>
      </c>
      <c r="E74" s="60">
        <v>0</v>
      </c>
      <c r="F74" s="69">
        <v>0</v>
      </c>
      <c r="G74" s="69">
        <v>0</v>
      </c>
      <c r="H74" s="77">
        <v>0</v>
      </c>
      <c r="I74" s="60">
        <v>0</v>
      </c>
      <c r="J74" s="59">
        <v>0</v>
      </c>
      <c r="K74" s="59">
        <v>0</v>
      </c>
      <c r="L74" s="77">
        <v>0</v>
      </c>
      <c r="M74" s="85">
        <v>0</v>
      </c>
    </row>
    <row r="75" spans="1:13" x14ac:dyDescent="0.3">
      <c r="A75" s="58"/>
      <c r="B75" s="59">
        <v>1</v>
      </c>
      <c r="C75" s="60">
        <v>0</v>
      </c>
      <c r="D75" s="77">
        <v>0</v>
      </c>
      <c r="E75" s="60">
        <v>0</v>
      </c>
      <c r="F75" s="69">
        <v>0</v>
      </c>
      <c r="G75" s="69">
        <v>0</v>
      </c>
      <c r="H75" s="77">
        <v>0</v>
      </c>
      <c r="I75" s="60">
        <v>0</v>
      </c>
      <c r="J75" s="59">
        <v>0</v>
      </c>
      <c r="K75" s="59">
        <v>0</v>
      </c>
      <c r="L75" s="77">
        <v>0</v>
      </c>
      <c r="M75" s="85">
        <v>1</v>
      </c>
    </row>
    <row r="76" spans="1:13" x14ac:dyDescent="0.3">
      <c r="A76" s="58"/>
      <c r="B76" s="59">
        <v>1</v>
      </c>
      <c r="C76" s="60">
        <v>0</v>
      </c>
      <c r="D76" s="77">
        <v>0</v>
      </c>
      <c r="E76" s="60">
        <v>0</v>
      </c>
      <c r="F76" s="69">
        <v>0</v>
      </c>
      <c r="G76" s="69">
        <v>0</v>
      </c>
      <c r="H76" s="77">
        <v>0</v>
      </c>
      <c r="I76" s="60">
        <v>0</v>
      </c>
      <c r="J76" s="59">
        <v>0</v>
      </c>
      <c r="K76" s="59">
        <v>1</v>
      </c>
      <c r="L76" s="77">
        <v>0</v>
      </c>
      <c r="M76" s="85">
        <v>0</v>
      </c>
    </row>
    <row r="77" spans="1:13" x14ac:dyDescent="0.3">
      <c r="A77" s="58"/>
      <c r="B77" s="59">
        <v>1</v>
      </c>
      <c r="C77" s="60">
        <v>0</v>
      </c>
      <c r="D77" s="77">
        <v>0</v>
      </c>
      <c r="E77" s="60">
        <v>0</v>
      </c>
      <c r="F77" s="69">
        <v>0</v>
      </c>
      <c r="G77" s="69">
        <v>0</v>
      </c>
      <c r="H77" s="77">
        <v>0</v>
      </c>
      <c r="I77" s="60">
        <v>0</v>
      </c>
      <c r="J77" s="59">
        <v>0</v>
      </c>
      <c r="K77" s="59">
        <v>0</v>
      </c>
      <c r="L77" s="77">
        <v>0</v>
      </c>
      <c r="M77" s="85">
        <v>0</v>
      </c>
    </row>
    <row r="78" spans="1:13" x14ac:dyDescent="0.3">
      <c r="A78" s="58"/>
      <c r="B78" s="59">
        <v>1</v>
      </c>
      <c r="C78" s="60">
        <v>0</v>
      </c>
      <c r="D78" s="77">
        <v>0</v>
      </c>
      <c r="E78" s="60">
        <v>0</v>
      </c>
      <c r="F78" s="69">
        <v>0</v>
      </c>
      <c r="G78" s="69">
        <v>0</v>
      </c>
      <c r="H78" s="77">
        <v>0</v>
      </c>
      <c r="I78" s="60">
        <v>0</v>
      </c>
      <c r="J78" s="59">
        <v>0</v>
      </c>
      <c r="K78" s="59">
        <v>0</v>
      </c>
      <c r="L78" s="77">
        <v>0</v>
      </c>
      <c r="M78" s="85">
        <v>0</v>
      </c>
    </row>
    <row r="79" spans="1:13" x14ac:dyDescent="0.3">
      <c r="A79" s="58" t="s">
        <v>280</v>
      </c>
      <c r="B79" s="59">
        <v>1</v>
      </c>
      <c r="C79" s="60">
        <v>0</v>
      </c>
      <c r="D79" s="77">
        <v>0</v>
      </c>
      <c r="E79" s="60">
        <v>1</v>
      </c>
      <c r="F79" s="69">
        <v>0</v>
      </c>
      <c r="G79" s="69">
        <v>1</v>
      </c>
      <c r="H79" s="77">
        <v>0</v>
      </c>
      <c r="I79" s="60">
        <v>0</v>
      </c>
      <c r="J79" s="59">
        <v>0</v>
      </c>
      <c r="K79" s="59">
        <v>0</v>
      </c>
      <c r="L79" s="77">
        <v>0</v>
      </c>
      <c r="M79" s="85">
        <v>0</v>
      </c>
    </row>
    <row r="80" spans="1:13" x14ac:dyDescent="0.3">
      <c r="A80" s="58"/>
      <c r="B80" s="59">
        <v>0</v>
      </c>
      <c r="C80" s="60">
        <v>0</v>
      </c>
      <c r="D80" s="77">
        <v>0</v>
      </c>
      <c r="E80" s="60">
        <v>0</v>
      </c>
      <c r="F80" s="69">
        <v>0</v>
      </c>
      <c r="G80" s="69">
        <v>0</v>
      </c>
      <c r="H80" s="77">
        <v>1</v>
      </c>
      <c r="I80" s="60">
        <v>0</v>
      </c>
      <c r="J80" s="59">
        <v>0</v>
      </c>
      <c r="K80" s="59">
        <v>0</v>
      </c>
      <c r="L80" s="77">
        <v>0</v>
      </c>
      <c r="M80" s="85">
        <v>0</v>
      </c>
    </row>
    <row r="81" spans="1:13" x14ac:dyDescent="0.3">
      <c r="A81" s="58" t="s">
        <v>281</v>
      </c>
      <c r="B81" s="59">
        <v>0</v>
      </c>
      <c r="C81" s="60">
        <v>0</v>
      </c>
      <c r="D81" s="77">
        <v>0</v>
      </c>
      <c r="E81" s="60">
        <v>0</v>
      </c>
      <c r="F81" s="69">
        <v>0</v>
      </c>
      <c r="G81" s="69">
        <v>0</v>
      </c>
      <c r="H81" s="77">
        <v>1</v>
      </c>
      <c r="I81" s="60">
        <v>0</v>
      </c>
      <c r="J81" s="59">
        <v>0</v>
      </c>
      <c r="K81" s="59">
        <v>0</v>
      </c>
      <c r="L81" s="77">
        <v>0</v>
      </c>
      <c r="M81" s="85">
        <v>0</v>
      </c>
    </row>
    <row r="82" spans="1:13" x14ac:dyDescent="0.3">
      <c r="A82" s="58" t="s">
        <v>282</v>
      </c>
      <c r="B82" s="59">
        <v>0</v>
      </c>
      <c r="C82" s="60">
        <v>0</v>
      </c>
      <c r="D82" s="77">
        <v>0</v>
      </c>
      <c r="E82" s="60">
        <v>0</v>
      </c>
      <c r="F82" s="69">
        <v>1</v>
      </c>
      <c r="G82" s="69">
        <v>0</v>
      </c>
      <c r="H82" s="77">
        <v>0</v>
      </c>
      <c r="I82" s="60">
        <v>0</v>
      </c>
      <c r="J82" s="59">
        <v>0</v>
      </c>
      <c r="K82" s="59">
        <v>0</v>
      </c>
      <c r="L82" s="77">
        <v>0</v>
      </c>
      <c r="M82" s="85">
        <v>0</v>
      </c>
    </row>
    <row r="83" spans="1:13" x14ac:dyDescent="0.3">
      <c r="A83" s="58"/>
      <c r="B83" s="59">
        <v>1</v>
      </c>
      <c r="C83" s="60">
        <v>0</v>
      </c>
      <c r="D83" s="77">
        <v>0</v>
      </c>
      <c r="E83" s="60">
        <v>0</v>
      </c>
      <c r="F83" s="69">
        <v>0</v>
      </c>
      <c r="G83" s="69">
        <v>0</v>
      </c>
      <c r="H83" s="77">
        <v>0</v>
      </c>
      <c r="I83" s="60">
        <v>0</v>
      </c>
      <c r="J83" s="59">
        <v>0</v>
      </c>
      <c r="K83" s="59">
        <v>0</v>
      </c>
      <c r="L83" s="77">
        <v>0</v>
      </c>
      <c r="M83" s="85">
        <v>0</v>
      </c>
    </row>
    <row r="84" spans="1:13" x14ac:dyDescent="0.3">
      <c r="A84" s="58" t="s">
        <v>283</v>
      </c>
      <c r="B84" s="59">
        <v>1</v>
      </c>
      <c r="C84" s="60">
        <v>0</v>
      </c>
      <c r="D84" s="77">
        <v>0</v>
      </c>
      <c r="E84" s="60">
        <v>0</v>
      </c>
      <c r="F84" s="69">
        <v>0</v>
      </c>
      <c r="G84" s="69">
        <v>0</v>
      </c>
      <c r="H84" s="77">
        <v>0</v>
      </c>
      <c r="I84" s="60">
        <v>0</v>
      </c>
      <c r="J84" s="59">
        <v>0</v>
      </c>
      <c r="K84" s="59">
        <v>0</v>
      </c>
      <c r="L84" s="77">
        <v>0</v>
      </c>
      <c r="M84" s="85">
        <v>0</v>
      </c>
    </row>
    <row r="85" spans="1:13" x14ac:dyDescent="0.3">
      <c r="A85" s="58"/>
      <c r="B85" s="59">
        <v>1</v>
      </c>
      <c r="C85" s="60">
        <v>0</v>
      </c>
      <c r="D85" s="77">
        <v>0</v>
      </c>
      <c r="E85" s="60">
        <v>0</v>
      </c>
      <c r="F85" s="69">
        <v>0</v>
      </c>
      <c r="G85" s="69">
        <v>0</v>
      </c>
      <c r="H85" s="77">
        <v>0</v>
      </c>
      <c r="I85" s="60">
        <v>0</v>
      </c>
      <c r="J85" s="59">
        <v>0</v>
      </c>
      <c r="K85" s="59">
        <v>0</v>
      </c>
      <c r="L85" s="77">
        <v>0</v>
      </c>
      <c r="M85" s="85">
        <v>0</v>
      </c>
    </row>
    <row r="86" spans="1:13" x14ac:dyDescent="0.3">
      <c r="A86" s="58"/>
      <c r="B86" s="59">
        <v>0</v>
      </c>
      <c r="C86" s="60">
        <v>1</v>
      </c>
      <c r="D86" s="77">
        <v>1</v>
      </c>
      <c r="E86" s="60">
        <v>0</v>
      </c>
      <c r="F86" s="69">
        <v>0</v>
      </c>
      <c r="G86" s="69">
        <v>0</v>
      </c>
      <c r="H86" s="77">
        <v>0</v>
      </c>
      <c r="I86" s="60">
        <v>0</v>
      </c>
      <c r="J86" s="59">
        <v>0</v>
      </c>
      <c r="K86" s="59">
        <v>0</v>
      </c>
      <c r="L86" s="77">
        <v>0</v>
      </c>
      <c r="M86" s="85">
        <v>0</v>
      </c>
    </row>
    <row r="87" spans="1:13" x14ac:dyDescent="0.3">
      <c r="A87" s="58"/>
      <c r="B87" s="59">
        <v>1</v>
      </c>
      <c r="C87" s="60">
        <v>0</v>
      </c>
      <c r="D87" s="77">
        <v>0</v>
      </c>
      <c r="E87" s="60">
        <v>0</v>
      </c>
      <c r="F87" s="69">
        <v>0</v>
      </c>
      <c r="G87" s="69">
        <v>0</v>
      </c>
      <c r="H87" s="77">
        <v>0</v>
      </c>
      <c r="I87" s="60">
        <v>0</v>
      </c>
      <c r="J87" s="59">
        <v>0</v>
      </c>
      <c r="K87" s="59">
        <v>0</v>
      </c>
      <c r="L87" s="77">
        <v>0</v>
      </c>
      <c r="M87" s="85">
        <v>0</v>
      </c>
    </row>
    <row r="88" spans="1:13" x14ac:dyDescent="0.3">
      <c r="A88" s="58"/>
      <c r="B88" s="59">
        <v>0</v>
      </c>
      <c r="C88" s="60">
        <v>0</v>
      </c>
      <c r="D88" s="77">
        <v>0</v>
      </c>
      <c r="E88" s="60">
        <v>0</v>
      </c>
      <c r="F88" s="69">
        <v>0</v>
      </c>
      <c r="G88" s="69">
        <v>0</v>
      </c>
      <c r="H88" s="77">
        <v>0</v>
      </c>
      <c r="I88" s="60">
        <v>0</v>
      </c>
      <c r="J88" s="59">
        <v>0</v>
      </c>
      <c r="K88" s="59">
        <v>0</v>
      </c>
      <c r="L88" s="77">
        <v>0</v>
      </c>
      <c r="M88" s="85">
        <v>0</v>
      </c>
    </row>
    <row r="89" spans="1:13" ht="21" thickBot="1" x14ac:dyDescent="0.35">
      <c r="A89" s="58"/>
      <c r="B89" s="59">
        <v>0</v>
      </c>
      <c r="C89" s="60">
        <v>1</v>
      </c>
      <c r="D89" s="77">
        <v>1</v>
      </c>
      <c r="E89" s="60">
        <v>0</v>
      </c>
      <c r="F89" s="69">
        <v>0</v>
      </c>
      <c r="G89" s="59">
        <v>0</v>
      </c>
      <c r="H89" s="77">
        <v>0</v>
      </c>
      <c r="I89" s="60">
        <v>0</v>
      </c>
      <c r="J89" s="59">
        <v>0</v>
      </c>
      <c r="K89" s="55">
        <v>0</v>
      </c>
      <c r="L89" s="77">
        <v>0</v>
      </c>
      <c r="M89" s="85">
        <v>0</v>
      </c>
    </row>
    <row r="90" spans="1:13" ht="22" thickTop="1" thickBot="1" x14ac:dyDescent="0.35">
      <c r="A90" s="62" t="s">
        <v>32</v>
      </c>
      <c r="B90" s="63">
        <f t="shared" ref="B90:M90" si="14">0+SUM(B47:B89)</f>
        <v>34</v>
      </c>
      <c r="C90" s="63">
        <f t="shared" si="14"/>
        <v>3</v>
      </c>
      <c r="D90" s="63">
        <f t="shared" si="14"/>
        <v>4</v>
      </c>
      <c r="E90" s="63">
        <f t="shared" si="14"/>
        <v>1</v>
      </c>
      <c r="F90" s="63">
        <f t="shared" si="14"/>
        <v>1</v>
      </c>
      <c r="G90" s="63">
        <f t="shared" si="14"/>
        <v>1</v>
      </c>
      <c r="H90" s="63">
        <f t="shared" si="14"/>
        <v>3</v>
      </c>
      <c r="I90" s="63">
        <f t="shared" si="14"/>
        <v>1</v>
      </c>
      <c r="J90" s="63">
        <f t="shared" si="14"/>
        <v>0</v>
      </c>
      <c r="K90" s="63">
        <f t="shared" si="14"/>
        <v>1</v>
      </c>
      <c r="L90" s="63">
        <f t="shared" si="14"/>
        <v>1</v>
      </c>
      <c r="M90" s="63">
        <f t="shared" si="14"/>
        <v>2</v>
      </c>
    </row>
    <row r="91" spans="1:13" ht="21" thickTop="1" x14ac:dyDescent="0.3">
      <c r="A91" s="57"/>
      <c r="B91" s="57" t="s">
        <v>34</v>
      </c>
      <c r="C91" s="57" t="s">
        <v>36</v>
      </c>
      <c r="D91" s="57" t="s">
        <v>34</v>
      </c>
      <c r="E91" s="57" t="s">
        <v>36</v>
      </c>
      <c r="F91" s="57" t="s">
        <v>34</v>
      </c>
      <c r="G91" s="57" t="s">
        <v>36</v>
      </c>
      <c r="H91" s="57" t="s">
        <v>34</v>
      </c>
      <c r="I91" s="57" t="s">
        <v>36</v>
      </c>
      <c r="J91" s="57" t="s">
        <v>34</v>
      </c>
      <c r="K91" s="57" t="s">
        <v>36</v>
      </c>
      <c r="L91" s="57" t="s">
        <v>34</v>
      </c>
      <c r="M91" s="57" t="s">
        <v>36</v>
      </c>
    </row>
    <row r="92" spans="1:13" x14ac:dyDescent="0.3">
      <c r="A92" s="64" t="s">
        <v>41</v>
      </c>
      <c r="B92" s="65">
        <f t="shared" ref="B92:M92" si="15">0%+AVERAGE(B47:B89)</f>
        <v>0.79069767441860461</v>
      </c>
      <c r="C92" s="65">
        <f t="shared" si="15"/>
        <v>6.9767441860465115E-2</v>
      </c>
      <c r="D92" s="65">
        <f t="shared" si="15"/>
        <v>9.3023255813953487E-2</v>
      </c>
      <c r="E92" s="65">
        <f t="shared" si="15"/>
        <v>2.3255813953488372E-2</v>
      </c>
      <c r="F92" s="65">
        <f t="shared" si="15"/>
        <v>2.3255813953488372E-2</v>
      </c>
      <c r="G92" s="65">
        <f t="shared" si="15"/>
        <v>2.3255813953488372E-2</v>
      </c>
      <c r="H92" s="65">
        <f t="shared" si="15"/>
        <v>6.9767441860465115E-2</v>
      </c>
      <c r="I92" s="65">
        <f t="shared" si="15"/>
        <v>2.3255813953488372E-2</v>
      </c>
      <c r="J92" s="65">
        <f t="shared" si="15"/>
        <v>0</v>
      </c>
      <c r="K92" s="65">
        <f t="shared" si="15"/>
        <v>2.3255813953488372E-2</v>
      </c>
      <c r="L92" s="65">
        <f t="shared" si="15"/>
        <v>2.3255813953488372E-2</v>
      </c>
      <c r="M92" s="65">
        <f t="shared" si="15"/>
        <v>4.6511627906976744E-2</v>
      </c>
    </row>
    <row r="93" spans="1:13" x14ac:dyDescent="0.3">
      <c r="A93" s="55" t="s">
        <v>43</v>
      </c>
      <c r="B93" s="119">
        <f>0%+SUM(B92,C92)</f>
        <v>0.86046511627906974</v>
      </c>
      <c r="C93" s="120"/>
      <c r="D93" s="119">
        <f>0%+SUM(D92,E92)</f>
        <v>0.11627906976744186</v>
      </c>
      <c r="E93" s="120"/>
      <c r="F93" s="119">
        <f>0%+SUM(F92,G92)</f>
        <v>4.6511627906976744E-2</v>
      </c>
      <c r="G93" s="120"/>
      <c r="H93" s="119">
        <f>0%+SUM(H92,I92)</f>
        <v>9.3023255813953487E-2</v>
      </c>
      <c r="I93" s="120"/>
      <c r="J93" s="119">
        <f>0%+SUM(J92,K92)</f>
        <v>2.3255813953488372E-2</v>
      </c>
      <c r="K93" s="120"/>
      <c r="L93" s="119">
        <f>0%+SUM(L92,M92)</f>
        <v>6.9767441860465115E-2</v>
      </c>
      <c r="M93" s="120"/>
    </row>
    <row r="95" spans="1:13" x14ac:dyDescent="0.3">
      <c r="A95" t="s">
        <v>109</v>
      </c>
      <c r="B95">
        <f t="shared" ref="B95:M95" si="16">SUM(B3:B15,B23:B39,B47:B89)</f>
        <v>49</v>
      </c>
      <c r="C95">
        <f t="shared" si="16"/>
        <v>15</v>
      </c>
      <c r="D95">
        <f t="shared" si="16"/>
        <v>15</v>
      </c>
      <c r="E95">
        <f t="shared" si="16"/>
        <v>4</v>
      </c>
      <c r="F95">
        <f t="shared" si="16"/>
        <v>4</v>
      </c>
      <c r="G95">
        <f t="shared" si="16"/>
        <v>2</v>
      </c>
      <c r="H95">
        <f t="shared" si="16"/>
        <v>3</v>
      </c>
      <c r="I95">
        <f t="shared" si="16"/>
        <v>7</v>
      </c>
      <c r="J95">
        <f t="shared" si="16"/>
        <v>1</v>
      </c>
      <c r="K95">
        <f t="shared" si="16"/>
        <v>5</v>
      </c>
      <c r="L95">
        <f t="shared" si="16"/>
        <v>1</v>
      </c>
      <c r="M95">
        <f t="shared" si="16"/>
        <v>2</v>
      </c>
    </row>
    <row r="96" spans="1:13" x14ac:dyDescent="0.3">
      <c r="A96" t="s">
        <v>110</v>
      </c>
      <c r="B96" s="42">
        <f t="shared" ref="B96:M96" si="17">AVERAGE(B3:B15,B23:B39,B47:B89)</f>
        <v>0.67123287671232879</v>
      </c>
      <c r="C96" s="42">
        <f t="shared" si="17"/>
        <v>0.20547945205479451</v>
      </c>
      <c r="D96" s="42">
        <f t="shared" si="17"/>
        <v>0.20547945205479451</v>
      </c>
      <c r="E96" s="42">
        <f t="shared" si="17"/>
        <v>5.4794520547945202E-2</v>
      </c>
      <c r="F96" s="42">
        <f t="shared" si="17"/>
        <v>5.4794520547945202E-2</v>
      </c>
      <c r="G96" s="42">
        <f t="shared" si="17"/>
        <v>2.7397260273972601E-2</v>
      </c>
      <c r="H96" s="42">
        <f t="shared" si="17"/>
        <v>4.1095890410958902E-2</v>
      </c>
      <c r="I96" s="42">
        <f t="shared" si="17"/>
        <v>9.5890410958904104E-2</v>
      </c>
      <c r="J96" s="42">
        <f t="shared" si="17"/>
        <v>1.3698630136986301E-2</v>
      </c>
      <c r="K96" s="42">
        <f t="shared" si="17"/>
        <v>6.8493150684931503E-2</v>
      </c>
      <c r="L96" s="42">
        <f t="shared" si="17"/>
        <v>1.3698630136986301E-2</v>
      </c>
      <c r="M96" s="42">
        <f t="shared" si="17"/>
        <v>2.7397260273972601E-2</v>
      </c>
    </row>
    <row r="97" spans="1:10" x14ac:dyDescent="0.3">
      <c r="A97" t="s">
        <v>111</v>
      </c>
      <c r="B97" s="42">
        <f>SUM(B96:C96)</f>
        <v>0.87671232876712324</v>
      </c>
      <c r="D97" s="42">
        <f>SUM(D96:E96)</f>
        <v>0.26027397260273971</v>
      </c>
      <c r="F97" s="42">
        <f>SUM(F96:G96)</f>
        <v>8.2191780821917804E-2</v>
      </c>
      <c r="H97" s="42">
        <f>SUM(H96:I96)</f>
        <v>0.13698630136986301</v>
      </c>
      <c r="J97" s="42">
        <f>SUM(J96:K96)</f>
        <v>8.2191780821917804E-2</v>
      </c>
    </row>
  </sheetData>
  <mergeCells count="39">
    <mergeCell ref="L19:M19"/>
    <mergeCell ref="B1:M1"/>
    <mergeCell ref="B2:C2"/>
    <mergeCell ref="D2:E2"/>
    <mergeCell ref="F2:G2"/>
    <mergeCell ref="H2:I2"/>
    <mergeCell ref="J2:K2"/>
    <mergeCell ref="L2:M2"/>
    <mergeCell ref="B19:C19"/>
    <mergeCell ref="D19:E19"/>
    <mergeCell ref="F19:G19"/>
    <mergeCell ref="H19:I19"/>
    <mergeCell ref="J19:K19"/>
    <mergeCell ref="L43:M43"/>
    <mergeCell ref="B21:M21"/>
    <mergeCell ref="B22:C22"/>
    <mergeCell ref="D22:E22"/>
    <mergeCell ref="F22:G22"/>
    <mergeCell ref="H22:I22"/>
    <mergeCell ref="J22:K22"/>
    <mergeCell ref="L22:M22"/>
    <mergeCell ref="B43:C43"/>
    <mergeCell ref="D43:E43"/>
    <mergeCell ref="F43:G43"/>
    <mergeCell ref="H43:I43"/>
    <mergeCell ref="J43:K43"/>
    <mergeCell ref="L93:M93"/>
    <mergeCell ref="B45:M45"/>
    <mergeCell ref="B46:C46"/>
    <mergeCell ref="D46:E46"/>
    <mergeCell ref="F46:G46"/>
    <mergeCell ref="H46:I46"/>
    <mergeCell ref="J46:K46"/>
    <mergeCell ref="L46:M46"/>
    <mergeCell ref="B93:C93"/>
    <mergeCell ref="D93:E93"/>
    <mergeCell ref="F93:G93"/>
    <mergeCell ref="H93:I93"/>
    <mergeCell ref="J93:K93"/>
  </mergeCells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T49"/>
  <sheetViews>
    <sheetView tabSelected="1" zoomScale="82" workbookViewId="0">
      <selection activeCell="H53" sqref="H53"/>
    </sheetView>
  </sheetViews>
  <sheetFormatPr baseColWidth="12" defaultRowHeight="20" x14ac:dyDescent="0.3"/>
  <cols>
    <col min="1" max="1" width="41.28515625" customWidth="1"/>
    <col min="17" max="17" width="21.5703125" customWidth="1"/>
    <col min="19" max="19" width="25.5703125" customWidth="1"/>
  </cols>
  <sheetData>
    <row r="1" spans="1:20" ht="22" thickTop="1" thickBot="1" x14ac:dyDescent="0.35">
      <c r="A1" s="6" t="s">
        <v>3</v>
      </c>
      <c r="B1" s="123" t="s">
        <v>13</v>
      </c>
      <c r="C1" s="124"/>
      <c r="D1" s="124"/>
      <c r="E1" s="124"/>
      <c r="F1" s="124"/>
      <c r="G1" s="124"/>
      <c r="H1" s="130"/>
      <c r="I1" s="130"/>
      <c r="J1" s="130"/>
      <c r="K1" s="130"/>
      <c r="L1" s="130"/>
      <c r="M1" s="131"/>
      <c r="N1" s="96"/>
      <c r="P1" s="1" t="s">
        <v>169</v>
      </c>
      <c r="Q1" s="1" t="s">
        <v>168</v>
      </c>
      <c r="R1" s="1" t="s">
        <v>170</v>
      </c>
      <c r="S1" s="1" t="s">
        <v>171</v>
      </c>
      <c r="T1" s="1" t="s">
        <v>182</v>
      </c>
    </row>
    <row r="2" spans="1:20" ht="21" thickBot="1" x14ac:dyDescent="0.35">
      <c r="A2" s="87" t="s">
        <v>5</v>
      </c>
      <c r="B2" s="126" t="s">
        <v>382</v>
      </c>
      <c r="C2" s="127"/>
      <c r="D2" s="126" t="s">
        <v>384</v>
      </c>
      <c r="E2" s="127"/>
      <c r="F2" s="126" t="s">
        <v>386</v>
      </c>
      <c r="G2" s="127"/>
      <c r="H2" s="126" t="s">
        <v>391</v>
      </c>
      <c r="I2" s="127"/>
      <c r="J2" s="126" t="s">
        <v>392</v>
      </c>
      <c r="K2" s="127"/>
      <c r="L2" s="126"/>
      <c r="M2" s="127"/>
      <c r="N2" s="126"/>
      <c r="O2" s="127"/>
      <c r="P2" s="1">
        <v>1</v>
      </c>
      <c r="Q2" s="1"/>
      <c r="R2" s="1"/>
      <c r="S2" s="1"/>
    </row>
    <row r="3" spans="1:20" ht="21" thickTop="1" x14ac:dyDescent="0.3">
      <c r="A3" s="33" t="s">
        <v>380</v>
      </c>
      <c r="B3" s="8">
        <v>0</v>
      </c>
      <c r="C3" s="15">
        <v>1</v>
      </c>
      <c r="D3" s="17">
        <v>0</v>
      </c>
      <c r="E3" s="15">
        <v>0</v>
      </c>
      <c r="F3" s="89">
        <v>0</v>
      </c>
      <c r="G3" s="90">
        <v>0</v>
      </c>
      <c r="H3" s="91">
        <v>1</v>
      </c>
      <c r="I3" s="91">
        <v>0</v>
      </c>
      <c r="J3" s="26">
        <v>0</v>
      </c>
      <c r="K3" s="25">
        <v>0</v>
      </c>
      <c r="L3" s="26">
        <v>0</v>
      </c>
      <c r="M3" s="25">
        <v>0</v>
      </c>
      <c r="N3" s="26">
        <v>0</v>
      </c>
      <c r="O3" s="25">
        <v>0</v>
      </c>
      <c r="P3" s="1">
        <v>2</v>
      </c>
      <c r="Q3" s="1"/>
      <c r="R3" s="1"/>
      <c r="S3" s="1"/>
    </row>
    <row r="4" spans="1:20" x14ac:dyDescent="0.3">
      <c r="A4" s="33"/>
      <c r="B4" s="138">
        <v>0</v>
      </c>
      <c r="C4" s="139">
        <v>1</v>
      </c>
      <c r="D4" s="26">
        <v>0</v>
      </c>
      <c r="E4" s="25">
        <v>1</v>
      </c>
      <c r="F4" s="26">
        <v>0</v>
      </c>
      <c r="G4" s="25">
        <v>1</v>
      </c>
      <c r="H4" s="44">
        <v>1</v>
      </c>
      <c r="I4" s="45">
        <v>0</v>
      </c>
      <c r="J4" s="26">
        <v>0</v>
      </c>
      <c r="K4" s="25">
        <v>0</v>
      </c>
      <c r="L4" s="26">
        <v>0</v>
      </c>
      <c r="M4" s="25">
        <v>0</v>
      </c>
      <c r="N4" s="26">
        <v>0</v>
      </c>
      <c r="O4" s="25">
        <v>0</v>
      </c>
      <c r="P4" s="1">
        <v>3</v>
      </c>
      <c r="Q4" s="1"/>
      <c r="R4" s="1"/>
      <c r="S4" s="1"/>
    </row>
    <row r="5" spans="1:20" x14ac:dyDescent="0.3">
      <c r="A5" s="33"/>
      <c r="B5" s="77">
        <v>0</v>
      </c>
      <c r="C5" s="139">
        <v>1</v>
      </c>
      <c r="D5" s="26">
        <v>0</v>
      </c>
      <c r="E5" s="25">
        <v>0</v>
      </c>
      <c r="F5" s="26">
        <v>0</v>
      </c>
      <c r="G5" s="25">
        <v>0</v>
      </c>
      <c r="H5" s="48">
        <v>1</v>
      </c>
      <c r="I5" s="49">
        <v>0</v>
      </c>
      <c r="J5" s="26">
        <v>0</v>
      </c>
      <c r="K5" s="25">
        <v>0</v>
      </c>
      <c r="L5" s="26">
        <v>0</v>
      </c>
      <c r="M5" s="25">
        <v>0</v>
      </c>
      <c r="N5" s="26">
        <v>0</v>
      </c>
      <c r="O5" s="25">
        <v>0</v>
      </c>
      <c r="P5" s="1">
        <v>4</v>
      </c>
      <c r="Q5" s="1"/>
      <c r="R5" s="1"/>
      <c r="S5" s="1"/>
    </row>
    <row r="6" spans="1:20" x14ac:dyDescent="0.3">
      <c r="A6" s="33" t="s">
        <v>387</v>
      </c>
      <c r="B6" s="140">
        <v>1</v>
      </c>
      <c r="C6" s="139">
        <v>0</v>
      </c>
      <c r="D6" s="26">
        <v>0</v>
      </c>
      <c r="E6" s="25">
        <v>1</v>
      </c>
      <c r="F6" s="26">
        <v>0</v>
      </c>
      <c r="G6" s="25">
        <v>0</v>
      </c>
      <c r="H6" s="48">
        <v>0</v>
      </c>
      <c r="I6" s="49">
        <v>1</v>
      </c>
      <c r="J6" s="36">
        <v>0</v>
      </c>
      <c r="K6" s="25">
        <v>0</v>
      </c>
      <c r="L6" s="36">
        <v>0</v>
      </c>
      <c r="M6" s="25">
        <v>0</v>
      </c>
      <c r="N6" s="36">
        <v>0</v>
      </c>
      <c r="O6" s="25">
        <v>0</v>
      </c>
      <c r="P6" s="1">
        <v>5</v>
      </c>
      <c r="Q6" s="1"/>
      <c r="R6" s="1"/>
      <c r="S6" s="1"/>
    </row>
    <row r="7" spans="1:20" x14ac:dyDescent="0.3">
      <c r="A7" s="33"/>
      <c r="B7" s="138">
        <v>1</v>
      </c>
      <c r="C7" s="139">
        <v>0</v>
      </c>
      <c r="D7" s="36">
        <v>0</v>
      </c>
      <c r="E7" s="25">
        <v>0</v>
      </c>
      <c r="F7" s="36">
        <v>0</v>
      </c>
      <c r="G7" s="25">
        <v>0</v>
      </c>
      <c r="H7" s="48">
        <v>0</v>
      </c>
      <c r="I7" s="49">
        <v>1</v>
      </c>
      <c r="J7" s="26">
        <v>0</v>
      </c>
      <c r="K7" s="25">
        <v>0</v>
      </c>
      <c r="L7" s="26">
        <v>0</v>
      </c>
      <c r="M7" s="25">
        <v>0</v>
      </c>
      <c r="N7" s="26">
        <v>0</v>
      </c>
      <c r="O7" s="25">
        <v>0</v>
      </c>
      <c r="P7" s="1">
        <v>6</v>
      </c>
      <c r="Q7" s="1"/>
      <c r="R7" s="1"/>
      <c r="S7" s="1"/>
    </row>
    <row r="8" spans="1:20" x14ac:dyDescent="0.3">
      <c r="A8" s="33" t="s">
        <v>394</v>
      </c>
      <c r="B8" s="138">
        <v>0</v>
      </c>
      <c r="C8" s="139">
        <v>1</v>
      </c>
      <c r="D8" s="26">
        <v>0</v>
      </c>
      <c r="E8" s="25">
        <v>0</v>
      </c>
      <c r="F8" s="26">
        <v>0</v>
      </c>
      <c r="G8" s="25">
        <v>0</v>
      </c>
      <c r="H8" s="48">
        <v>1</v>
      </c>
      <c r="I8" s="49">
        <v>0</v>
      </c>
      <c r="J8" s="26">
        <v>0</v>
      </c>
      <c r="K8" s="25">
        <v>0</v>
      </c>
      <c r="L8" s="26">
        <v>0</v>
      </c>
      <c r="M8" s="25">
        <v>0</v>
      </c>
      <c r="N8" s="26">
        <v>0</v>
      </c>
      <c r="O8" s="25">
        <v>0</v>
      </c>
      <c r="P8" s="1">
        <v>7</v>
      </c>
      <c r="Q8" s="1"/>
      <c r="R8" s="1"/>
      <c r="S8" s="1"/>
    </row>
    <row r="9" spans="1:20" x14ac:dyDescent="0.3">
      <c r="A9" s="33" t="s">
        <v>388</v>
      </c>
      <c r="B9" s="138">
        <v>1</v>
      </c>
      <c r="C9" s="139">
        <v>0</v>
      </c>
      <c r="D9" s="26">
        <v>0</v>
      </c>
      <c r="E9" s="25">
        <v>0</v>
      </c>
      <c r="F9" s="26">
        <v>0</v>
      </c>
      <c r="G9" s="25">
        <v>0</v>
      </c>
      <c r="H9" s="36">
        <v>0</v>
      </c>
      <c r="I9" s="25">
        <v>0</v>
      </c>
      <c r="J9" s="26">
        <v>0</v>
      </c>
      <c r="K9" s="25">
        <v>0</v>
      </c>
      <c r="L9" s="26">
        <v>0</v>
      </c>
      <c r="M9" s="25">
        <v>0</v>
      </c>
      <c r="N9" s="26">
        <v>0</v>
      </c>
      <c r="O9" s="25">
        <v>0</v>
      </c>
      <c r="P9" s="1">
        <v>8</v>
      </c>
      <c r="Q9" s="1"/>
      <c r="R9" s="1"/>
      <c r="S9" s="1"/>
    </row>
    <row r="10" spans="1:20" ht="21" thickBot="1" x14ac:dyDescent="0.35">
      <c r="A10" s="33"/>
      <c r="B10" s="138">
        <v>0</v>
      </c>
      <c r="C10" s="139">
        <v>0</v>
      </c>
      <c r="D10" s="26">
        <v>0</v>
      </c>
      <c r="E10" s="25">
        <v>0</v>
      </c>
      <c r="F10" s="26">
        <v>0</v>
      </c>
      <c r="G10" s="25">
        <v>0</v>
      </c>
      <c r="H10" s="26">
        <v>1</v>
      </c>
      <c r="I10" s="25">
        <v>0</v>
      </c>
      <c r="J10" s="26">
        <v>0</v>
      </c>
      <c r="K10" s="25">
        <v>0</v>
      </c>
      <c r="L10" s="26">
        <v>0</v>
      </c>
      <c r="M10" s="25">
        <v>0</v>
      </c>
      <c r="N10" s="26">
        <v>0</v>
      </c>
      <c r="O10" s="25">
        <v>0</v>
      </c>
      <c r="P10" s="1">
        <v>9</v>
      </c>
      <c r="Q10" s="1"/>
      <c r="R10" s="1"/>
      <c r="S10" s="1"/>
    </row>
    <row r="11" spans="1:20" ht="22" thickTop="1" thickBot="1" x14ac:dyDescent="0.35">
      <c r="A11" s="31" t="s">
        <v>33</v>
      </c>
      <c r="B11" s="32">
        <f>SUM(B3:B10)</f>
        <v>3</v>
      </c>
      <c r="C11" s="32">
        <f>SUM(C3:C10)</f>
        <v>4</v>
      </c>
      <c r="D11" s="32">
        <f>SUM(D3:D10)</f>
        <v>0</v>
      </c>
      <c r="E11" s="32">
        <f>SUM(E3:E10)</f>
        <v>2</v>
      </c>
      <c r="F11" s="32">
        <f>SUM(F3:F10)</f>
        <v>0</v>
      </c>
      <c r="G11" s="32">
        <f>SUM(G3:G10)</f>
        <v>1</v>
      </c>
      <c r="H11" s="32">
        <f>SUM(H3:H10)</f>
        <v>5</v>
      </c>
      <c r="I11" s="32">
        <f>SUM(I3:I10)</f>
        <v>2</v>
      </c>
      <c r="J11" s="32">
        <f>SUM(J3:J10)</f>
        <v>0</v>
      </c>
      <c r="K11" s="32">
        <f>SUM(K3:K10)</f>
        <v>0</v>
      </c>
      <c r="L11" s="32">
        <f>SUM(L3:L10)</f>
        <v>0</v>
      </c>
      <c r="M11" s="32">
        <f>SUM(M3:M10)</f>
        <v>0</v>
      </c>
      <c r="N11" s="32">
        <f>SUM(N3:N10)</f>
        <v>0</v>
      </c>
      <c r="O11" s="32">
        <f>SUM(O3:O10)</f>
        <v>0</v>
      </c>
    </row>
    <row r="12" spans="1:20" ht="21" thickTop="1" x14ac:dyDescent="0.3">
      <c r="A12" s="88"/>
      <c r="B12" s="88" t="s">
        <v>35</v>
      </c>
      <c r="C12" s="88" t="s">
        <v>37</v>
      </c>
      <c r="D12" s="88" t="s">
        <v>35</v>
      </c>
      <c r="E12" s="88" t="s">
        <v>37</v>
      </c>
      <c r="F12" s="88" t="s">
        <v>35</v>
      </c>
      <c r="G12" s="88" t="s">
        <v>37</v>
      </c>
      <c r="H12" s="88" t="s">
        <v>35</v>
      </c>
      <c r="I12" s="88" t="s">
        <v>37</v>
      </c>
      <c r="J12" s="88" t="s">
        <v>35</v>
      </c>
      <c r="K12" s="88" t="s">
        <v>37</v>
      </c>
      <c r="L12" s="88" t="s">
        <v>35</v>
      </c>
      <c r="M12" s="88" t="s">
        <v>37</v>
      </c>
      <c r="N12" s="88" t="s">
        <v>35</v>
      </c>
      <c r="O12" s="88" t="s">
        <v>37</v>
      </c>
    </row>
    <row r="13" spans="1:20" x14ac:dyDescent="0.3">
      <c r="A13" s="41" t="s">
        <v>42</v>
      </c>
      <c r="B13" s="42">
        <f>AVERAGE(B3:B10)</f>
        <v>0.375</v>
      </c>
      <c r="C13" s="42">
        <f>AVERAGE(C3:C10)</f>
        <v>0.5</v>
      </c>
      <c r="D13" s="42">
        <f>AVERAGE(D3:D10)</f>
        <v>0</v>
      </c>
      <c r="E13" s="42">
        <f>AVERAGE(E3:E10)</f>
        <v>0.25</v>
      </c>
      <c r="F13" s="42">
        <f>AVERAGE(F3:F10)</f>
        <v>0</v>
      </c>
      <c r="G13" s="42">
        <f>AVERAGE(G3:G10)</f>
        <v>0.125</v>
      </c>
      <c r="H13" s="42">
        <f>AVERAGE(H3:H10)</f>
        <v>0.625</v>
      </c>
      <c r="I13" s="42">
        <f>AVERAGE(I3:I10)</f>
        <v>0.25</v>
      </c>
      <c r="J13" s="42">
        <f>AVERAGE(J3:J10)</f>
        <v>0</v>
      </c>
      <c r="K13" s="42">
        <f>AVERAGE(K3:K10)</f>
        <v>0</v>
      </c>
      <c r="L13" s="42">
        <f>AVERAGE(L3:L10)</f>
        <v>0</v>
      </c>
      <c r="M13" s="42">
        <f>AVERAGE(M3:M10)</f>
        <v>0</v>
      </c>
      <c r="N13" s="42">
        <f>AVERAGE(N3:N10)</f>
        <v>0</v>
      </c>
      <c r="O13" s="42">
        <f>AVERAGE(O3:O10)</f>
        <v>0</v>
      </c>
    </row>
    <row r="14" spans="1:20" x14ac:dyDescent="0.3">
      <c r="A14" s="1" t="s">
        <v>44</v>
      </c>
      <c r="B14" s="121">
        <f>SUM(B13,C13)</f>
        <v>0.875</v>
      </c>
      <c r="C14" s="122"/>
      <c r="D14" s="121">
        <f t="shared" ref="D14" si="0">SUM(D13,E13)</f>
        <v>0.25</v>
      </c>
      <c r="E14" s="122"/>
      <c r="F14" s="121">
        <f t="shared" ref="F14" si="1">SUM(F13,G13)</f>
        <v>0.125</v>
      </c>
      <c r="G14" s="122"/>
      <c r="H14" s="121">
        <f t="shared" ref="H14" si="2">SUM(H13,I13)</f>
        <v>0.875</v>
      </c>
      <c r="I14" s="122"/>
      <c r="J14" s="121">
        <f t="shared" ref="J14" si="3">SUM(J13,K13)</f>
        <v>0</v>
      </c>
      <c r="K14" s="122"/>
      <c r="L14" s="121">
        <f t="shared" ref="L14" si="4">SUM(L13,M13)</f>
        <v>0</v>
      </c>
      <c r="M14" s="122"/>
      <c r="N14" s="121">
        <f t="shared" ref="N14" si="5">SUM(N13,O13)</f>
        <v>0</v>
      </c>
      <c r="O14" s="122"/>
    </row>
    <row r="15" spans="1:20" ht="21" thickBot="1" x14ac:dyDescent="0.35"/>
    <row r="16" spans="1:20" ht="22" thickTop="1" thickBot="1" x14ac:dyDescent="0.35">
      <c r="A16" s="6" t="s">
        <v>61</v>
      </c>
      <c r="B16" s="123" t="s">
        <v>13</v>
      </c>
      <c r="C16" s="124"/>
      <c r="D16" s="124"/>
      <c r="E16" s="124"/>
      <c r="F16" s="124"/>
      <c r="G16" s="124"/>
      <c r="H16" s="124"/>
      <c r="I16" s="124"/>
      <c r="J16" s="124"/>
      <c r="K16" s="124"/>
      <c r="L16" s="124"/>
      <c r="M16" s="125"/>
      <c r="N16" s="97"/>
    </row>
    <row r="17" spans="1:15" ht="21" thickBot="1" x14ac:dyDescent="0.35">
      <c r="A17" s="87" t="s">
        <v>5</v>
      </c>
      <c r="B17" s="126" t="s">
        <v>382</v>
      </c>
      <c r="C17" s="127"/>
      <c r="D17" s="126" t="s">
        <v>384</v>
      </c>
      <c r="E17" s="127"/>
      <c r="F17" s="126" t="s">
        <v>386</v>
      </c>
      <c r="G17" s="127"/>
      <c r="H17" s="126" t="s">
        <v>391</v>
      </c>
      <c r="I17" s="127"/>
      <c r="J17" s="126" t="s">
        <v>392</v>
      </c>
      <c r="K17" s="127"/>
      <c r="L17" s="126"/>
      <c r="M17" s="127"/>
      <c r="N17" s="126"/>
      <c r="O17" s="127"/>
    </row>
    <row r="18" spans="1:15" ht="21" thickTop="1" x14ac:dyDescent="0.3">
      <c r="A18" s="141" t="s">
        <v>389</v>
      </c>
      <c r="B18" s="8">
        <v>0</v>
      </c>
      <c r="C18" s="8">
        <v>1</v>
      </c>
      <c r="D18" s="18">
        <v>0</v>
      </c>
      <c r="E18" s="8">
        <v>0</v>
      </c>
      <c r="F18" s="18">
        <v>0</v>
      </c>
      <c r="G18" s="8">
        <v>0</v>
      </c>
      <c r="H18" s="8">
        <v>1</v>
      </c>
      <c r="I18" s="8">
        <v>0</v>
      </c>
      <c r="J18" s="8">
        <v>0</v>
      </c>
      <c r="K18" s="8">
        <v>1</v>
      </c>
      <c r="L18" s="8">
        <v>0</v>
      </c>
      <c r="M18" s="8">
        <v>0</v>
      </c>
      <c r="N18" s="8">
        <v>0</v>
      </c>
      <c r="O18" s="8">
        <v>0</v>
      </c>
    </row>
    <row r="19" spans="1:15" x14ac:dyDescent="0.3">
      <c r="A19" s="141" t="s">
        <v>393</v>
      </c>
      <c r="B19" s="12">
        <v>0</v>
      </c>
      <c r="C19" s="35">
        <v>1</v>
      </c>
      <c r="D19" s="18">
        <v>0</v>
      </c>
      <c r="E19" s="35">
        <v>1</v>
      </c>
      <c r="F19" s="18">
        <v>0</v>
      </c>
      <c r="G19" s="18">
        <v>0</v>
      </c>
      <c r="H19" s="44">
        <v>1</v>
      </c>
      <c r="I19" s="45">
        <v>0</v>
      </c>
      <c r="J19" s="43">
        <v>0</v>
      </c>
      <c r="K19" s="43">
        <v>0</v>
      </c>
      <c r="L19" s="44">
        <v>0</v>
      </c>
      <c r="M19" s="46">
        <v>0</v>
      </c>
      <c r="N19" s="44">
        <v>0</v>
      </c>
      <c r="O19" s="46">
        <v>0</v>
      </c>
    </row>
    <row r="20" spans="1:15" x14ac:dyDescent="0.3">
      <c r="A20" s="141" t="s">
        <v>395</v>
      </c>
      <c r="B20" s="12">
        <v>1</v>
      </c>
      <c r="C20" s="16">
        <v>0</v>
      </c>
      <c r="D20" s="18">
        <v>0</v>
      </c>
      <c r="E20" s="16">
        <v>0</v>
      </c>
      <c r="F20" s="18">
        <v>0</v>
      </c>
      <c r="G20" s="18">
        <v>0</v>
      </c>
      <c r="H20" s="48">
        <v>0</v>
      </c>
      <c r="I20" s="18">
        <v>1</v>
      </c>
      <c r="J20" s="43">
        <v>0</v>
      </c>
      <c r="K20" s="18">
        <v>0</v>
      </c>
      <c r="L20" s="48">
        <v>0</v>
      </c>
      <c r="M20" s="50">
        <v>0</v>
      </c>
      <c r="N20" s="48">
        <v>0</v>
      </c>
      <c r="O20" s="50">
        <v>0</v>
      </c>
    </row>
    <row r="21" spans="1:15" ht="21" thickBot="1" x14ac:dyDescent="0.35">
      <c r="A21" s="141"/>
      <c r="B21" s="36">
        <v>1</v>
      </c>
      <c r="C21" s="25">
        <v>0</v>
      </c>
      <c r="D21" s="36">
        <v>0</v>
      </c>
      <c r="E21" s="25">
        <v>0</v>
      </c>
      <c r="F21" s="36">
        <v>0</v>
      </c>
      <c r="G21" s="25">
        <v>0</v>
      </c>
      <c r="H21" s="36">
        <v>0</v>
      </c>
      <c r="I21" s="25">
        <v>0</v>
      </c>
      <c r="J21" s="36">
        <v>0</v>
      </c>
      <c r="K21" s="25">
        <v>0</v>
      </c>
      <c r="L21" s="36">
        <v>0</v>
      </c>
      <c r="M21" s="25">
        <v>0</v>
      </c>
      <c r="N21" s="36">
        <v>0</v>
      </c>
      <c r="O21" s="25">
        <v>0</v>
      </c>
    </row>
    <row r="22" spans="1:15" ht="22" thickTop="1" thickBot="1" x14ac:dyDescent="0.35">
      <c r="A22" s="31" t="s">
        <v>33</v>
      </c>
      <c r="B22" s="32">
        <f>SUM(B18:B21)</f>
        <v>2</v>
      </c>
      <c r="C22" s="32">
        <f>SUM(C18:C21)</f>
        <v>2</v>
      </c>
      <c r="D22" s="32">
        <f>SUM(D18:D21)</f>
        <v>0</v>
      </c>
      <c r="E22" s="32">
        <f>SUM(E18:E21)</f>
        <v>1</v>
      </c>
      <c r="F22" s="32">
        <f>SUM(F18:F21)</f>
        <v>0</v>
      </c>
      <c r="G22" s="32">
        <f>SUM(G18:G21)</f>
        <v>0</v>
      </c>
      <c r="H22" s="32">
        <f>SUM(H18:H21)</f>
        <v>2</v>
      </c>
      <c r="I22" s="32">
        <f>SUM(I18:I21)</f>
        <v>1</v>
      </c>
      <c r="J22" s="32">
        <f>SUM(J18:J21)</f>
        <v>0</v>
      </c>
      <c r="K22" s="32">
        <f>SUM(K18:K21)</f>
        <v>1</v>
      </c>
      <c r="L22" s="32">
        <f>SUM(L18:L21)</f>
        <v>0</v>
      </c>
      <c r="M22" s="32">
        <f>SUM(M18:M21)</f>
        <v>0</v>
      </c>
      <c r="N22" s="32">
        <f>SUM(N18:N21)</f>
        <v>0</v>
      </c>
      <c r="O22" s="32">
        <f>SUM(O18:O21)</f>
        <v>0</v>
      </c>
    </row>
    <row r="23" spans="1:15" ht="21" thickTop="1" x14ac:dyDescent="0.3">
      <c r="A23" s="88"/>
      <c r="B23" s="88" t="s">
        <v>35</v>
      </c>
      <c r="C23" s="88" t="s">
        <v>37</v>
      </c>
      <c r="D23" s="88" t="s">
        <v>35</v>
      </c>
      <c r="E23" s="88" t="s">
        <v>37</v>
      </c>
      <c r="F23" s="88" t="s">
        <v>35</v>
      </c>
      <c r="G23" s="88" t="s">
        <v>37</v>
      </c>
      <c r="H23" s="88" t="s">
        <v>35</v>
      </c>
      <c r="I23" s="88" t="s">
        <v>37</v>
      </c>
      <c r="J23" s="88" t="s">
        <v>35</v>
      </c>
      <c r="K23" s="88" t="s">
        <v>37</v>
      </c>
      <c r="L23" s="88" t="s">
        <v>35</v>
      </c>
      <c r="M23" s="88" t="s">
        <v>37</v>
      </c>
      <c r="N23" s="88" t="s">
        <v>35</v>
      </c>
      <c r="O23" s="88" t="s">
        <v>37</v>
      </c>
    </row>
    <row r="24" spans="1:15" x14ac:dyDescent="0.3">
      <c r="A24" s="41" t="s">
        <v>42</v>
      </c>
      <c r="B24" s="42">
        <f>AVERAGE(B18:B21)</f>
        <v>0.5</v>
      </c>
      <c r="C24" s="42">
        <f>AVERAGE(C18:C21)</f>
        <v>0.5</v>
      </c>
      <c r="D24" s="42">
        <f>AVERAGE(D18:D21)</f>
        <v>0</v>
      </c>
      <c r="E24" s="42">
        <f>AVERAGE(E18:E21)</f>
        <v>0.25</v>
      </c>
      <c r="F24" s="42">
        <f>AVERAGE(F18:F21)</f>
        <v>0</v>
      </c>
      <c r="G24" s="42">
        <f>AVERAGE(G18:G21)</f>
        <v>0</v>
      </c>
      <c r="H24" s="42">
        <f>AVERAGE(H18:H21)</f>
        <v>0.5</v>
      </c>
      <c r="I24" s="42">
        <f>AVERAGE(I18:I21)</f>
        <v>0.25</v>
      </c>
      <c r="J24" s="42">
        <f>AVERAGE(J18:J21)</f>
        <v>0</v>
      </c>
      <c r="K24" s="42">
        <f>AVERAGE(K18:K21)</f>
        <v>0.25</v>
      </c>
      <c r="L24" s="42">
        <f>AVERAGE(L18:L21)</f>
        <v>0</v>
      </c>
      <c r="M24" s="42">
        <f>AVERAGE(M18:M21)</f>
        <v>0</v>
      </c>
      <c r="N24" s="42">
        <f>AVERAGE(N18:N21)</f>
        <v>0</v>
      </c>
      <c r="O24" s="42">
        <f>AVERAGE(O18:O21)</f>
        <v>0</v>
      </c>
    </row>
    <row r="25" spans="1:15" x14ac:dyDescent="0.3">
      <c r="A25" s="1" t="s">
        <v>44</v>
      </c>
      <c r="B25" s="121">
        <f>SUM(B24,C24)</f>
        <v>1</v>
      </c>
      <c r="C25" s="122"/>
      <c r="D25" s="121">
        <f t="shared" ref="D25" si="6">SUM(D24,E24)</f>
        <v>0.25</v>
      </c>
      <c r="E25" s="122"/>
      <c r="F25" s="121">
        <f t="shared" ref="F25" si="7">SUM(F24,G24)</f>
        <v>0</v>
      </c>
      <c r="G25" s="122"/>
      <c r="H25" s="121">
        <f t="shared" ref="H25" si="8">SUM(H24,I24)</f>
        <v>0.75</v>
      </c>
      <c r="I25" s="122"/>
      <c r="J25" s="121">
        <f t="shared" ref="J25" si="9">SUM(J24,K24)</f>
        <v>0.25</v>
      </c>
      <c r="K25" s="122"/>
      <c r="L25" s="121">
        <f t="shared" ref="L25" si="10">SUM(L24,M24)</f>
        <v>0</v>
      </c>
      <c r="M25" s="122"/>
      <c r="N25" s="121">
        <f t="shared" ref="N25" si="11">SUM(N24,O24)</f>
        <v>0</v>
      </c>
      <c r="O25" s="122"/>
    </row>
    <row r="26" spans="1:15" ht="21" thickBot="1" x14ac:dyDescent="0.35"/>
    <row r="27" spans="1:15" ht="22" thickTop="1" thickBot="1" x14ac:dyDescent="0.35">
      <c r="A27" s="54" t="s">
        <v>60</v>
      </c>
      <c r="B27" s="116" t="s">
        <v>12</v>
      </c>
      <c r="C27" s="117"/>
      <c r="D27" s="117"/>
      <c r="E27" s="117"/>
      <c r="F27" s="117"/>
      <c r="G27" s="117"/>
      <c r="H27" s="117"/>
      <c r="I27" s="117"/>
      <c r="J27" s="117"/>
      <c r="K27" s="117"/>
      <c r="L27" s="117"/>
      <c r="M27" s="118"/>
      <c r="N27" s="73"/>
    </row>
    <row r="28" spans="1:15" ht="21" thickBot="1" x14ac:dyDescent="0.35">
      <c r="A28" s="56" t="s">
        <v>4</v>
      </c>
      <c r="B28" s="115" t="s">
        <v>381</v>
      </c>
      <c r="C28" s="114"/>
      <c r="D28" s="113" t="s">
        <v>383</v>
      </c>
      <c r="E28" s="114"/>
      <c r="F28" s="113" t="s">
        <v>385</v>
      </c>
      <c r="G28" s="114"/>
      <c r="H28" s="113" t="s">
        <v>390</v>
      </c>
      <c r="I28" s="142"/>
      <c r="J28" s="126" t="s">
        <v>392</v>
      </c>
      <c r="K28" s="127"/>
      <c r="L28" s="126"/>
      <c r="M28" s="127"/>
      <c r="N28" s="126"/>
      <c r="O28" s="127"/>
    </row>
    <row r="29" spans="1:15" ht="21" thickTop="1" x14ac:dyDescent="0.3">
      <c r="A29" s="58" t="s">
        <v>396</v>
      </c>
      <c r="B29" s="59">
        <v>1</v>
      </c>
      <c r="C29" s="59">
        <v>0</v>
      </c>
      <c r="D29" s="59">
        <v>0</v>
      </c>
      <c r="E29" s="59">
        <v>0</v>
      </c>
      <c r="F29" s="59">
        <v>0</v>
      </c>
      <c r="G29" s="59">
        <v>0</v>
      </c>
      <c r="H29" s="59">
        <v>0</v>
      </c>
      <c r="I29" s="59">
        <v>0</v>
      </c>
      <c r="J29" s="59">
        <v>0</v>
      </c>
      <c r="K29" s="59">
        <v>0</v>
      </c>
      <c r="L29" s="59">
        <v>0</v>
      </c>
      <c r="M29" s="59">
        <v>0</v>
      </c>
      <c r="N29" s="59">
        <v>0</v>
      </c>
      <c r="O29" s="59">
        <v>0</v>
      </c>
    </row>
    <row r="30" spans="1:15" x14ac:dyDescent="0.3">
      <c r="A30" s="58"/>
      <c r="B30" s="59">
        <v>1</v>
      </c>
      <c r="C30" s="60">
        <v>0</v>
      </c>
      <c r="D30" s="59">
        <v>0</v>
      </c>
      <c r="E30" s="60">
        <v>0</v>
      </c>
      <c r="F30" s="69">
        <v>0</v>
      </c>
      <c r="G30" s="69">
        <v>0</v>
      </c>
      <c r="H30" s="70">
        <v>0</v>
      </c>
      <c r="I30" s="71">
        <v>0</v>
      </c>
      <c r="J30" s="69">
        <v>0</v>
      </c>
      <c r="K30" s="69">
        <v>0</v>
      </c>
      <c r="L30" s="70">
        <v>0</v>
      </c>
      <c r="M30" s="72">
        <v>0</v>
      </c>
      <c r="N30" s="70">
        <v>0</v>
      </c>
      <c r="O30" s="72">
        <v>0</v>
      </c>
    </row>
    <row r="31" spans="1:15" x14ac:dyDescent="0.3">
      <c r="A31" s="58"/>
      <c r="B31" s="59">
        <v>1</v>
      </c>
      <c r="C31" s="60">
        <v>0</v>
      </c>
      <c r="D31" s="59">
        <v>0</v>
      </c>
      <c r="E31" s="60">
        <v>0</v>
      </c>
      <c r="F31" s="69">
        <v>0</v>
      </c>
      <c r="G31" s="69">
        <v>0</v>
      </c>
      <c r="H31" s="70">
        <v>0</v>
      </c>
      <c r="I31" s="71">
        <v>0</v>
      </c>
      <c r="J31" s="69">
        <v>0</v>
      </c>
      <c r="K31" s="69">
        <v>0</v>
      </c>
      <c r="L31" s="70">
        <v>0</v>
      </c>
      <c r="M31" s="72">
        <v>0</v>
      </c>
      <c r="N31" s="70">
        <v>0</v>
      </c>
      <c r="O31" s="72">
        <v>0</v>
      </c>
    </row>
    <row r="32" spans="1:15" x14ac:dyDescent="0.3">
      <c r="A32" s="58"/>
      <c r="B32" s="59">
        <v>1</v>
      </c>
      <c r="C32" s="60">
        <v>0</v>
      </c>
      <c r="D32" s="59">
        <v>0</v>
      </c>
      <c r="E32" s="60">
        <v>0</v>
      </c>
      <c r="F32" s="69">
        <v>0</v>
      </c>
      <c r="G32" s="69">
        <v>0</v>
      </c>
      <c r="H32" s="70">
        <v>0</v>
      </c>
      <c r="I32" s="71">
        <v>0</v>
      </c>
      <c r="J32" s="69">
        <v>0</v>
      </c>
      <c r="K32" s="69">
        <v>0</v>
      </c>
      <c r="L32" s="70">
        <v>0</v>
      </c>
      <c r="M32" s="72">
        <v>0</v>
      </c>
      <c r="N32" s="70">
        <v>0</v>
      </c>
      <c r="O32" s="72">
        <v>0</v>
      </c>
    </row>
    <row r="33" spans="1:15" x14ac:dyDescent="0.3">
      <c r="A33" s="58"/>
      <c r="B33" s="59">
        <v>1</v>
      </c>
      <c r="C33" s="60">
        <v>0</v>
      </c>
      <c r="D33" s="59">
        <v>0</v>
      </c>
      <c r="E33" s="60">
        <v>0</v>
      </c>
      <c r="F33" s="69">
        <v>0</v>
      </c>
      <c r="G33" s="69">
        <v>0</v>
      </c>
      <c r="H33" s="70">
        <v>0</v>
      </c>
      <c r="I33" s="71">
        <v>0</v>
      </c>
      <c r="J33" s="69">
        <v>0</v>
      </c>
      <c r="K33" s="69">
        <v>0</v>
      </c>
      <c r="L33" s="70">
        <v>0</v>
      </c>
      <c r="M33" s="72">
        <v>0</v>
      </c>
      <c r="N33" s="70">
        <v>0</v>
      </c>
      <c r="O33" s="72">
        <v>0</v>
      </c>
    </row>
    <row r="34" spans="1:15" x14ac:dyDescent="0.3">
      <c r="A34" s="58" t="s">
        <v>397</v>
      </c>
      <c r="B34" s="59">
        <v>0</v>
      </c>
      <c r="C34" s="60">
        <v>1</v>
      </c>
      <c r="D34" s="59">
        <v>0</v>
      </c>
      <c r="E34" s="60">
        <v>0</v>
      </c>
      <c r="F34" s="69">
        <v>0</v>
      </c>
      <c r="G34" s="69">
        <v>0</v>
      </c>
      <c r="H34" s="70">
        <v>1</v>
      </c>
      <c r="I34" s="71">
        <v>0</v>
      </c>
      <c r="J34" s="69">
        <v>0</v>
      </c>
      <c r="K34" s="69">
        <v>0</v>
      </c>
      <c r="L34" s="70">
        <v>0</v>
      </c>
      <c r="M34" s="72">
        <v>0</v>
      </c>
      <c r="N34" s="70">
        <v>0</v>
      </c>
      <c r="O34" s="72">
        <v>0</v>
      </c>
    </row>
    <row r="35" spans="1:15" x14ac:dyDescent="0.3">
      <c r="A35" s="58"/>
      <c r="B35" s="59">
        <v>0</v>
      </c>
      <c r="C35" s="60">
        <v>1</v>
      </c>
      <c r="D35" s="59">
        <v>0</v>
      </c>
      <c r="E35" s="60">
        <v>0</v>
      </c>
      <c r="F35" s="69">
        <v>0</v>
      </c>
      <c r="G35" s="69">
        <v>0</v>
      </c>
      <c r="H35" s="70">
        <v>1</v>
      </c>
      <c r="I35" s="71">
        <v>0</v>
      </c>
      <c r="J35" s="69">
        <v>0</v>
      </c>
      <c r="K35" s="69">
        <v>0</v>
      </c>
      <c r="L35" s="70">
        <v>0</v>
      </c>
      <c r="M35" s="72">
        <v>0</v>
      </c>
      <c r="N35" s="70">
        <v>0</v>
      </c>
      <c r="O35" s="72">
        <v>0</v>
      </c>
    </row>
    <row r="36" spans="1:15" x14ac:dyDescent="0.3">
      <c r="A36" s="58" t="s">
        <v>398</v>
      </c>
      <c r="B36" s="59">
        <v>1</v>
      </c>
      <c r="C36" s="60">
        <v>0</v>
      </c>
      <c r="D36" s="59">
        <v>0</v>
      </c>
      <c r="E36" s="60">
        <v>0</v>
      </c>
      <c r="F36" s="69">
        <v>0</v>
      </c>
      <c r="G36" s="69">
        <v>0</v>
      </c>
      <c r="H36" s="70">
        <v>0</v>
      </c>
      <c r="I36" s="71">
        <v>0</v>
      </c>
      <c r="J36" s="69">
        <v>0</v>
      </c>
      <c r="K36" s="69">
        <v>0</v>
      </c>
      <c r="L36" s="70">
        <v>0</v>
      </c>
      <c r="M36" s="72">
        <v>0</v>
      </c>
      <c r="N36" s="70">
        <v>0</v>
      </c>
      <c r="O36" s="72">
        <v>0</v>
      </c>
    </row>
    <row r="37" spans="1:15" x14ac:dyDescent="0.3">
      <c r="A37" s="58" t="s">
        <v>399</v>
      </c>
      <c r="B37" s="59">
        <v>1</v>
      </c>
      <c r="C37" s="60">
        <v>0</v>
      </c>
      <c r="D37" s="59">
        <v>0</v>
      </c>
      <c r="E37" s="60">
        <v>0</v>
      </c>
      <c r="F37" s="69">
        <v>0</v>
      </c>
      <c r="G37" s="69">
        <v>0</v>
      </c>
      <c r="H37" s="70">
        <v>0</v>
      </c>
      <c r="I37" s="71">
        <v>0</v>
      </c>
      <c r="J37" s="69">
        <v>0</v>
      </c>
      <c r="K37" s="69">
        <v>0</v>
      </c>
      <c r="L37" s="70">
        <v>0</v>
      </c>
      <c r="M37" s="72">
        <v>0</v>
      </c>
      <c r="N37" s="70">
        <v>0</v>
      </c>
      <c r="O37" s="72">
        <v>0</v>
      </c>
    </row>
    <row r="38" spans="1:15" x14ac:dyDescent="0.3">
      <c r="A38" s="58"/>
      <c r="B38" s="59">
        <v>1</v>
      </c>
      <c r="C38" s="60">
        <v>0</v>
      </c>
      <c r="D38" s="59">
        <v>0</v>
      </c>
      <c r="E38" s="60">
        <v>0</v>
      </c>
      <c r="F38" s="69">
        <v>0</v>
      </c>
      <c r="G38" s="69">
        <v>0</v>
      </c>
      <c r="H38" s="70">
        <v>0</v>
      </c>
      <c r="I38" s="71">
        <v>0</v>
      </c>
      <c r="J38" s="69">
        <v>0</v>
      </c>
      <c r="K38" s="69">
        <v>0</v>
      </c>
      <c r="L38" s="70">
        <v>0</v>
      </c>
      <c r="M38" s="72">
        <v>0</v>
      </c>
      <c r="N38" s="70">
        <v>0</v>
      </c>
      <c r="O38" s="72">
        <v>0</v>
      </c>
    </row>
    <row r="39" spans="1:15" x14ac:dyDescent="0.3">
      <c r="A39" s="58" t="s">
        <v>400</v>
      </c>
      <c r="B39" s="59">
        <v>0</v>
      </c>
      <c r="C39" s="60">
        <v>0</v>
      </c>
      <c r="D39" s="59">
        <v>0</v>
      </c>
      <c r="E39" s="60">
        <v>0</v>
      </c>
      <c r="F39" s="69">
        <v>0</v>
      </c>
      <c r="G39" s="69">
        <v>0</v>
      </c>
      <c r="H39" s="70">
        <v>0</v>
      </c>
      <c r="I39" s="71">
        <v>0</v>
      </c>
      <c r="J39" s="69">
        <v>0</v>
      </c>
      <c r="K39" s="69">
        <v>0</v>
      </c>
      <c r="L39" s="70">
        <v>0</v>
      </c>
      <c r="M39" s="72">
        <v>0</v>
      </c>
      <c r="N39" s="70">
        <v>0</v>
      </c>
      <c r="O39" s="72">
        <v>0</v>
      </c>
    </row>
    <row r="40" spans="1:15" x14ac:dyDescent="0.3">
      <c r="A40" s="58" t="s">
        <v>401</v>
      </c>
      <c r="B40" s="59">
        <v>0</v>
      </c>
      <c r="C40" s="60">
        <v>1</v>
      </c>
      <c r="D40" s="59">
        <v>0</v>
      </c>
      <c r="E40" s="60">
        <v>0</v>
      </c>
      <c r="F40" s="69">
        <v>0</v>
      </c>
      <c r="G40" s="69">
        <v>0</v>
      </c>
      <c r="H40" s="60">
        <v>1</v>
      </c>
      <c r="I40" s="60">
        <v>0</v>
      </c>
      <c r="J40" s="60">
        <v>0</v>
      </c>
      <c r="K40" s="60">
        <v>0</v>
      </c>
      <c r="L40" s="60">
        <v>0</v>
      </c>
      <c r="M40" s="72">
        <v>0</v>
      </c>
      <c r="N40" s="60">
        <v>0</v>
      </c>
      <c r="O40" s="72">
        <v>0</v>
      </c>
    </row>
    <row r="41" spans="1:15" ht="21" thickBot="1" x14ac:dyDescent="0.35">
      <c r="A41" s="58" t="s">
        <v>402</v>
      </c>
      <c r="B41" s="59">
        <v>1</v>
      </c>
      <c r="C41" s="60">
        <v>0</v>
      </c>
      <c r="D41" s="59">
        <v>0</v>
      </c>
      <c r="E41" s="76">
        <v>0</v>
      </c>
      <c r="F41" s="69">
        <v>0</v>
      </c>
      <c r="G41" s="69">
        <v>0</v>
      </c>
      <c r="H41" s="75">
        <v>0</v>
      </c>
      <c r="I41" s="76">
        <v>0</v>
      </c>
      <c r="J41" s="59">
        <v>0</v>
      </c>
      <c r="K41" s="59">
        <v>0</v>
      </c>
      <c r="L41" s="75">
        <v>0</v>
      </c>
      <c r="M41" s="84">
        <v>0</v>
      </c>
      <c r="N41" s="75">
        <v>0</v>
      </c>
      <c r="O41" s="84">
        <v>0</v>
      </c>
    </row>
    <row r="42" spans="1:15" ht="22" thickTop="1" thickBot="1" x14ac:dyDescent="0.35">
      <c r="A42" s="62" t="s">
        <v>32</v>
      </c>
      <c r="B42" s="63">
        <f>0+SUM(B29:B41)</f>
        <v>9</v>
      </c>
      <c r="C42" s="63">
        <f>0+SUM(C29:C41)</f>
        <v>3</v>
      </c>
      <c r="D42" s="63">
        <f>0+SUM(D29:D41)</f>
        <v>0</v>
      </c>
      <c r="E42" s="63">
        <f>0+SUM(E29:E41)</f>
        <v>0</v>
      </c>
      <c r="F42" s="63">
        <f>0+SUM(F29:F41)</f>
        <v>0</v>
      </c>
      <c r="G42" s="63">
        <f>0+SUM(G29:G41)</f>
        <v>0</v>
      </c>
      <c r="H42" s="63">
        <f>0+SUM(H29:H41)</f>
        <v>3</v>
      </c>
      <c r="I42" s="63">
        <f>0+SUM(I29:I41)</f>
        <v>0</v>
      </c>
      <c r="J42" s="63">
        <f>0+SUM(J29:J41)</f>
        <v>0</v>
      </c>
      <c r="K42" s="63">
        <f>0+SUM(K29:K41)</f>
        <v>0</v>
      </c>
      <c r="L42" s="63">
        <f>0+SUM(L29:L41)</f>
        <v>0</v>
      </c>
      <c r="M42" s="63">
        <f>0+SUM(M29:M41)</f>
        <v>0</v>
      </c>
      <c r="N42" s="63">
        <f>0+SUM(N29:N41)</f>
        <v>0</v>
      </c>
      <c r="O42" s="63">
        <f>0+SUM(O29:O41)</f>
        <v>0</v>
      </c>
    </row>
    <row r="43" spans="1:15" ht="21" thickTop="1" x14ac:dyDescent="0.3">
      <c r="A43" s="57"/>
      <c r="B43" s="57" t="s">
        <v>34</v>
      </c>
      <c r="C43" s="57" t="s">
        <v>36</v>
      </c>
      <c r="D43" s="57" t="s">
        <v>34</v>
      </c>
      <c r="E43" s="57" t="s">
        <v>36</v>
      </c>
      <c r="F43" s="57" t="s">
        <v>34</v>
      </c>
      <c r="G43" s="57" t="s">
        <v>36</v>
      </c>
      <c r="H43" s="57" t="s">
        <v>34</v>
      </c>
      <c r="I43" s="57" t="s">
        <v>36</v>
      </c>
      <c r="J43" s="57" t="s">
        <v>34</v>
      </c>
      <c r="K43" s="57" t="s">
        <v>36</v>
      </c>
      <c r="L43" s="57" t="s">
        <v>34</v>
      </c>
      <c r="M43" s="57" t="s">
        <v>36</v>
      </c>
      <c r="N43" s="57" t="s">
        <v>34</v>
      </c>
      <c r="O43" s="57" t="s">
        <v>36</v>
      </c>
    </row>
    <row r="44" spans="1:15" x14ac:dyDescent="0.3">
      <c r="A44" s="64" t="s">
        <v>41</v>
      </c>
      <c r="B44" s="65">
        <f>0%+AVERAGE(B29:B41)</f>
        <v>0.69230769230769229</v>
      </c>
      <c r="C44" s="65">
        <f>0%+AVERAGE(C29:C41)</f>
        <v>0.23076923076923078</v>
      </c>
      <c r="D44" s="65">
        <f>0%+AVERAGE(D29:D41)</f>
        <v>0</v>
      </c>
      <c r="E44" s="65">
        <f>0%+AVERAGE(E29:E41)</f>
        <v>0</v>
      </c>
      <c r="F44" s="65">
        <f>0%+AVERAGE(F29:F41)</f>
        <v>0</v>
      </c>
      <c r="G44" s="65">
        <f>0%+AVERAGE(G29:G41)</f>
        <v>0</v>
      </c>
      <c r="H44" s="65">
        <f>0%+AVERAGE(H29:H41)</f>
        <v>0.23076923076923078</v>
      </c>
      <c r="I44" s="65">
        <f>0%+AVERAGE(I29:I41)</f>
        <v>0</v>
      </c>
      <c r="J44" s="65">
        <f>0%+AVERAGE(J29:J41)</f>
        <v>0</v>
      </c>
      <c r="K44" s="65">
        <f>0%+AVERAGE(K29:K41)</f>
        <v>0</v>
      </c>
      <c r="L44" s="65">
        <f>0%+AVERAGE(L29:L41)</f>
        <v>0</v>
      </c>
      <c r="M44" s="65">
        <f>0%+AVERAGE(M29:M41)</f>
        <v>0</v>
      </c>
      <c r="N44" s="65">
        <f>0%+AVERAGE(N29:N41)</f>
        <v>0</v>
      </c>
      <c r="O44" s="65">
        <f>0%+AVERAGE(O29:O41)</f>
        <v>0</v>
      </c>
    </row>
    <row r="45" spans="1:15" x14ac:dyDescent="0.3">
      <c r="A45" s="55" t="s">
        <v>43</v>
      </c>
      <c r="B45" s="119">
        <f>0%+SUM(B44,C44)</f>
        <v>0.92307692307692313</v>
      </c>
      <c r="C45" s="120"/>
      <c r="D45" s="119">
        <f>0%+SUM(D44,E44)</f>
        <v>0</v>
      </c>
      <c r="E45" s="120"/>
      <c r="F45" s="119">
        <f>0%+SUM(F44,G44)</f>
        <v>0</v>
      </c>
      <c r="G45" s="120"/>
      <c r="H45" s="119">
        <f>0%+SUM(H44,I44)</f>
        <v>0.23076923076923078</v>
      </c>
      <c r="I45" s="120"/>
      <c r="J45" s="119">
        <f>0%+SUM(J44,K44)</f>
        <v>0</v>
      </c>
      <c r="K45" s="120"/>
      <c r="L45" s="119">
        <f>0%+SUM(L44,M44)</f>
        <v>0</v>
      </c>
      <c r="M45" s="120"/>
      <c r="N45" s="119">
        <f>0%+SUM(N44,O44)</f>
        <v>0</v>
      </c>
      <c r="O45" s="120"/>
    </row>
    <row r="47" spans="1:15" x14ac:dyDescent="0.3">
      <c r="A47" t="s">
        <v>109</v>
      </c>
      <c r="B47">
        <f>SUM(B3:B10,B18:B21,B29:B41)</f>
        <v>14</v>
      </c>
      <c r="C47">
        <f>SUM(C3:C10,C18:C21,C29:C41)</f>
        <v>9</v>
      </c>
      <c r="D47">
        <f>SUM(D3:D10,D18:D21,D29:D41)</f>
        <v>0</v>
      </c>
      <c r="E47">
        <f>SUM(E3:E10,E18:E21,E29:E41)</f>
        <v>3</v>
      </c>
      <c r="F47">
        <f>SUM(F3:F10,F18:F21,F29:F41)</f>
        <v>0</v>
      </c>
      <c r="G47">
        <f>SUM(G3:G10,G18:G21,G29:G41)</f>
        <v>1</v>
      </c>
      <c r="H47">
        <f>SUM(H3:H10,H18:H21,H29:H41)</f>
        <v>10</v>
      </c>
      <c r="I47">
        <f>SUM(I3:I10,I18:I21,I29:I41)</f>
        <v>3</v>
      </c>
      <c r="J47">
        <f>SUM(J3:J10,J18:J21,J29:J41)</f>
        <v>0</v>
      </c>
      <c r="K47">
        <f>SUM(K3:K10,K18:K21,K29:K41)</f>
        <v>1</v>
      </c>
      <c r="L47">
        <f>SUM(L3:L10,L18:L21,L29:L41)</f>
        <v>0</v>
      </c>
      <c r="M47">
        <f>SUM(M3:M10,M18:M21,M29:M41)</f>
        <v>0</v>
      </c>
      <c r="N47">
        <f>SUM(N3:N10,N18:N21,N29:N41)</f>
        <v>0</v>
      </c>
      <c r="O47">
        <f>SUM(O3:O10,O18:O21,O29:O41)</f>
        <v>0</v>
      </c>
    </row>
    <row r="48" spans="1:15" x14ac:dyDescent="0.3">
      <c r="A48" t="s">
        <v>110</v>
      </c>
      <c r="B48" s="42">
        <f>AVERAGE(B3:B10,B18:B21,B29:B41)</f>
        <v>0.56000000000000005</v>
      </c>
      <c r="C48" s="42">
        <f>AVERAGE(C3:C10,C18:C21,C29:C41)</f>
        <v>0.36</v>
      </c>
      <c r="D48" s="42">
        <f>AVERAGE(D3:D10,D18:D21,D29:D41)</f>
        <v>0</v>
      </c>
      <c r="E48" s="42">
        <f>AVERAGE(E3:E10,E18:E21,E29:E41)</f>
        <v>0.12</v>
      </c>
      <c r="F48" s="42">
        <f>AVERAGE(F3:F10,F18:F21,F29:F41)</f>
        <v>0</v>
      </c>
      <c r="G48" s="42">
        <f>AVERAGE(G3:G10,G18:G21,G29:G41)</f>
        <v>0.04</v>
      </c>
      <c r="H48" s="42">
        <f>AVERAGE(H3:H10,H18:H21,H29:H41)</f>
        <v>0.4</v>
      </c>
      <c r="I48" s="42">
        <f>AVERAGE(I3:I10,I18:I21,I29:I41)</f>
        <v>0.12</v>
      </c>
      <c r="J48" s="42">
        <f>AVERAGE(J3:J10,J18:J21,J29:J41)</f>
        <v>0</v>
      </c>
      <c r="K48" s="42">
        <f>AVERAGE(K3:K10,K18:K21,K29:K41)</f>
        <v>0.04</v>
      </c>
      <c r="L48" s="42">
        <f>AVERAGE(L3:L10,L18:L21,L29:L41)</f>
        <v>0</v>
      </c>
      <c r="M48" s="42">
        <f>AVERAGE(M3:M10,M18:M21,M29:M41)</f>
        <v>0</v>
      </c>
      <c r="N48" s="42">
        <f>AVERAGE(N3:N10,N18:N21,N29:N41)</f>
        <v>0</v>
      </c>
      <c r="O48" s="42">
        <f>AVERAGE(O3:O10,O18:O21,O29:O41)</f>
        <v>0</v>
      </c>
    </row>
    <row r="49" spans="1:15" x14ac:dyDescent="0.3">
      <c r="A49" t="s">
        <v>111</v>
      </c>
      <c r="B49" s="42">
        <f>SUM(B48:C48)</f>
        <v>0.92</v>
      </c>
      <c r="D49" s="42">
        <f>SUM(D48:E48)</f>
        <v>0.12</v>
      </c>
      <c r="F49" s="42">
        <f>SUM(F48:G48)</f>
        <v>0.04</v>
      </c>
      <c r="H49" s="42">
        <f>SUM(H48:I48)</f>
        <v>0.52</v>
      </c>
      <c r="J49" s="42">
        <f>SUM(J48:K48)</f>
        <v>0.04</v>
      </c>
      <c r="K49" s="42"/>
      <c r="L49" s="42">
        <f t="shared" ref="L49:N49" si="12">SUM(L48:M48)</f>
        <v>0</v>
      </c>
      <c r="M49" s="42"/>
      <c r="N49" s="42">
        <f t="shared" si="12"/>
        <v>0</v>
      </c>
      <c r="O49" s="42"/>
    </row>
  </sheetData>
  <mergeCells count="45">
    <mergeCell ref="L14:M14"/>
    <mergeCell ref="B1:M1"/>
    <mergeCell ref="B2:C2"/>
    <mergeCell ref="D2:E2"/>
    <mergeCell ref="F2:G2"/>
    <mergeCell ref="H2:I2"/>
    <mergeCell ref="J2:K2"/>
    <mergeCell ref="L2:M2"/>
    <mergeCell ref="B14:C14"/>
    <mergeCell ref="D14:E14"/>
    <mergeCell ref="F14:G14"/>
    <mergeCell ref="H14:I14"/>
    <mergeCell ref="J14:K14"/>
    <mergeCell ref="L25:M25"/>
    <mergeCell ref="B16:M16"/>
    <mergeCell ref="B17:C17"/>
    <mergeCell ref="D17:E17"/>
    <mergeCell ref="F17:G17"/>
    <mergeCell ref="H17:I17"/>
    <mergeCell ref="J17:K17"/>
    <mergeCell ref="L17:M17"/>
    <mergeCell ref="B25:C25"/>
    <mergeCell ref="D25:E25"/>
    <mergeCell ref="F25:G25"/>
    <mergeCell ref="H25:I25"/>
    <mergeCell ref="J25:K25"/>
    <mergeCell ref="B27:M27"/>
    <mergeCell ref="B28:C28"/>
    <mergeCell ref="D28:E28"/>
    <mergeCell ref="F28:G28"/>
    <mergeCell ref="H28:I28"/>
    <mergeCell ref="J28:K28"/>
    <mergeCell ref="L28:M28"/>
    <mergeCell ref="N45:O45"/>
    <mergeCell ref="B45:C45"/>
    <mergeCell ref="D45:E45"/>
    <mergeCell ref="F45:G45"/>
    <mergeCell ref="H45:I45"/>
    <mergeCell ref="J45:K45"/>
    <mergeCell ref="L45:M45"/>
    <mergeCell ref="N2:O2"/>
    <mergeCell ref="N14:O14"/>
    <mergeCell ref="N17:O17"/>
    <mergeCell ref="N25:O25"/>
    <mergeCell ref="N28:O28"/>
  </mergeCells>
  <phoneticPr fontId="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S114"/>
  <sheetViews>
    <sheetView topLeftCell="E1" zoomScale="82" workbookViewId="0">
      <selection activeCell="O1" sqref="O1:S11"/>
    </sheetView>
  </sheetViews>
  <sheetFormatPr baseColWidth="12" defaultRowHeight="20" x14ac:dyDescent="0.3"/>
  <cols>
    <col min="1" max="1" width="41.28515625" customWidth="1"/>
    <col min="16" max="16" width="21.5703125" customWidth="1"/>
    <col min="18" max="18" width="25.5703125" customWidth="1"/>
  </cols>
  <sheetData>
    <row r="1" spans="1:19" ht="22" thickTop="1" thickBot="1" x14ac:dyDescent="0.35">
      <c r="A1" s="6" t="s">
        <v>3</v>
      </c>
      <c r="B1" s="123" t="s">
        <v>13</v>
      </c>
      <c r="C1" s="124"/>
      <c r="D1" s="124"/>
      <c r="E1" s="124"/>
      <c r="F1" s="124"/>
      <c r="G1" s="124"/>
      <c r="H1" s="130"/>
      <c r="I1" s="130"/>
      <c r="J1" s="130"/>
      <c r="K1" s="130"/>
      <c r="L1" s="130"/>
      <c r="M1" s="131"/>
      <c r="O1" s="1" t="s">
        <v>169</v>
      </c>
      <c r="P1" s="1" t="s">
        <v>168</v>
      </c>
      <c r="Q1" s="1" t="s">
        <v>170</v>
      </c>
      <c r="R1" s="1" t="s">
        <v>171</v>
      </c>
      <c r="S1" s="1" t="s">
        <v>182</v>
      </c>
    </row>
    <row r="2" spans="1:19" ht="21" thickBot="1" x14ac:dyDescent="0.35">
      <c r="A2" s="87" t="s">
        <v>5</v>
      </c>
      <c r="B2" s="126"/>
      <c r="C2" s="127"/>
      <c r="D2" s="126"/>
      <c r="E2" s="127"/>
      <c r="F2" s="126"/>
      <c r="G2" s="127"/>
      <c r="H2" s="126"/>
      <c r="I2" s="127"/>
      <c r="J2" s="126"/>
      <c r="K2" s="127"/>
      <c r="L2" s="126"/>
      <c r="M2" s="127"/>
      <c r="O2" s="1">
        <v>1</v>
      </c>
      <c r="P2" s="1"/>
      <c r="Q2" s="1"/>
      <c r="R2" s="1"/>
    </row>
    <row r="3" spans="1:19" ht="21" thickTop="1" x14ac:dyDescent="0.3">
      <c r="A3" s="33"/>
      <c r="B3" s="8">
        <v>0</v>
      </c>
      <c r="C3" s="15">
        <v>0</v>
      </c>
      <c r="D3" s="17">
        <v>0</v>
      </c>
      <c r="E3" s="15">
        <v>0</v>
      </c>
      <c r="F3" s="89">
        <v>0</v>
      </c>
      <c r="G3" s="90">
        <v>0</v>
      </c>
      <c r="H3" s="91">
        <v>0</v>
      </c>
      <c r="I3" s="91">
        <v>0</v>
      </c>
      <c r="J3" s="89">
        <v>0</v>
      </c>
      <c r="K3" s="89">
        <v>0</v>
      </c>
      <c r="L3" s="91">
        <v>0</v>
      </c>
      <c r="M3" s="92">
        <v>0</v>
      </c>
      <c r="O3" s="1">
        <v>2</v>
      </c>
      <c r="P3" s="1"/>
      <c r="Q3" s="1"/>
      <c r="R3" s="1"/>
    </row>
    <row r="4" spans="1:19" x14ac:dyDescent="0.3">
      <c r="A4" s="33"/>
      <c r="B4" s="34">
        <v>0</v>
      </c>
      <c r="C4" s="25">
        <v>0</v>
      </c>
      <c r="D4" s="36">
        <v>0</v>
      </c>
      <c r="E4" s="25">
        <v>0</v>
      </c>
      <c r="F4" s="43">
        <v>0</v>
      </c>
      <c r="G4" s="90">
        <v>0</v>
      </c>
      <c r="H4" s="44">
        <v>0</v>
      </c>
      <c r="I4" s="45">
        <v>0</v>
      </c>
      <c r="J4" s="43">
        <v>0</v>
      </c>
      <c r="K4" s="43">
        <v>0</v>
      </c>
      <c r="L4" s="93">
        <v>0</v>
      </c>
      <c r="M4" s="92">
        <v>0</v>
      </c>
      <c r="O4" s="1">
        <v>3</v>
      </c>
      <c r="P4" s="1"/>
      <c r="Q4" s="1"/>
      <c r="R4" s="1"/>
    </row>
    <row r="5" spans="1:19" x14ac:dyDescent="0.3">
      <c r="A5" s="33"/>
      <c r="B5" s="12">
        <v>0</v>
      </c>
      <c r="C5" s="25">
        <v>0</v>
      </c>
      <c r="D5" s="26">
        <v>0</v>
      </c>
      <c r="E5" s="25">
        <v>0</v>
      </c>
      <c r="F5" s="47">
        <v>0</v>
      </c>
      <c r="G5" s="90">
        <v>0</v>
      </c>
      <c r="H5" s="48">
        <v>0</v>
      </c>
      <c r="I5" s="49">
        <v>0</v>
      </c>
      <c r="J5" s="43">
        <v>0</v>
      </c>
      <c r="K5" s="90">
        <v>0</v>
      </c>
      <c r="L5" s="93">
        <v>0</v>
      </c>
      <c r="M5" s="92">
        <v>0</v>
      </c>
      <c r="O5" s="1">
        <v>4</v>
      </c>
      <c r="P5" s="1"/>
      <c r="Q5" s="1"/>
      <c r="R5" s="1"/>
    </row>
    <row r="6" spans="1:19" x14ac:dyDescent="0.3">
      <c r="A6" s="33"/>
      <c r="B6" s="12">
        <v>0</v>
      </c>
      <c r="C6" s="25">
        <v>0</v>
      </c>
      <c r="D6" s="26">
        <v>0</v>
      </c>
      <c r="E6" s="25">
        <v>0</v>
      </c>
      <c r="F6" s="47">
        <v>0</v>
      </c>
      <c r="G6" s="90">
        <v>0</v>
      </c>
      <c r="H6" s="48">
        <v>0</v>
      </c>
      <c r="I6" s="49">
        <v>0</v>
      </c>
      <c r="J6" s="43">
        <v>0</v>
      </c>
      <c r="K6" s="90">
        <v>0</v>
      </c>
      <c r="L6" s="93">
        <v>0</v>
      </c>
      <c r="M6" s="92">
        <v>0</v>
      </c>
      <c r="O6" s="1">
        <v>5</v>
      </c>
      <c r="P6" s="1"/>
      <c r="Q6" s="1"/>
      <c r="R6" s="1"/>
    </row>
    <row r="7" spans="1:19" x14ac:dyDescent="0.3">
      <c r="A7" s="33"/>
      <c r="B7" s="18">
        <v>0</v>
      </c>
      <c r="C7" s="25">
        <v>0</v>
      </c>
      <c r="D7" s="26">
        <v>0</v>
      </c>
      <c r="E7" s="25">
        <v>0</v>
      </c>
      <c r="F7" s="47">
        <v>0</v>
      </c>
      <c r="G7" s="90">
        <v>0</v>
      </c>
      <c r="H7" s="48">
        <v>0</v>
      </c>
      <c r="I7" s="49">
        <v>0</v>
      </c>
      <c r="J7" s="43">
        <v>0</v>
      </c>
      <c r="K7" s="90">
        <v>0</v>
      </c>
      <c r="L7" s="93">
        <v>0</v>
      </c>
      <c r="M7" s="92">
        <v>0</v>
      </c>
      <c r="O7" s="1">
        <v>6</v>
      </c>
      <c r="P7" s="1"/>
      <c r="Q7" s="1"/>
      <c r="R7" s="1"/>
    </row>
    <row r="8" spans="1:19" x14ac:dyDescent="0.3">
      <c r="A8" s="33"/>
      <c r="B8" s="94">
        <v>0</v>
      </c>
      <c r="C8" s="25">
        <v>0</v>
      </c>
      <c r="D8" s="26">
        <v>0</v>
      </c>
      <c r="E8" s="25">
        <v>0</v>
      </c>
      <c r="F8" s="47">
        <v>0</v>
      </c>
      <c r="G8" s="90">
        <v>0</v>
      </c>
      <c r="H8" s="48">
        <v>0</v>
      </c>
      <c r="I8" s="49">
        <v>0</v>
      </c>
      <c r="J8" s="43">
        <v>0</v>
      </c>
      <c r="K8" s="90">
        <v>0</v>
      </c>
      <c r="L8" s="93">
        <v>0</v>
      </c>
      <c r="M8" s="92">
        <v>0</v>
      </c>
      <c r="O8" s="1">
        <v>7</v>
      </c>
      <c r="P8" s="1"/>
      <c r="Q8" s="1"/>
      <c r="R8" s="1"/>
    </row>
    <row r="9" spans="1:19" x14ac:dyDescent="0.3">
      <c r="A9" s="33"/>
      <c r="B9" s="34">
        <v>0</v>
      </c>
      <c r="C9" s="34">
        <v>0</v>
      </c>
      <c r="D9" s="36">
        <v>0</v>
      </c>
      <c r="E9" s="25">
        <v>0</v>
      </c>
      <c r="F9" s="36">
        <v>0</v>
      </c>
      <c r="G9" s="25">
        <v>0</v>
      </c>
      <c r="H9" s="36">
        <v>0</v>
      </c>
      <c r="I9" s="25">
        <v>0</v>
      </c>
      <c r="J9" s="36">
        <v>0</v>
      </c>
      <c r="K9" s="25">
        <v>0</v>
      </c>
      <c r="L9" s="36">
        <v>0</v>
      </c>
      <c r="M9" s="25">
        <v>0</v>
      </c>
      <c r="O9" s="1">
        <v>8</v>
      </c>
      <c r="P9" s="1"/>
      <c r="Q9" s="1"/>
      <c r="R9" s="1"/>
    </row>
    <row r="10" spans="1:19" x14ac:dyDescent="0.3">
      <c r="A10" s="33"/>
      <c r="B10" s="34">
        <v>0</v>
      </c>
      <c r="C10" s="34">
        <v>0</v>
      </c>
      <c r="D10" s="26">
        <v>0</v>
      </c>
      <c r="E10" s="25">
        <v>0</v>
      </c>
      <c r="F10" s="26">
        <v>0</v>
      </c>
      <c r="G10" s="25">
        <v>0</v>
      </c>
      <c r="H10" s="26">
        <v>0</v>
      </c>
      <c r="I10" s="25">
        <v>0</v>
      </c>
      <c r="J10" s="26">
        <v>0</v>
      </c>
      <c r="K10" s="25">
        <v>0</v>
      </c>
      <c r="L10" s="26">
        <v>0</v>
      </c>
      <c r="M10" s="25">
        <v>0</v>
      </c>
      <c r="O10" s="1">
        <v>9</v>
      </c>
      <c r="P10" s="1"/>
      <c r="Q10" s="1"/>
      <c r="R10" s="1"/>
    </row>
    <row r="11" spans="1:19" x14ac:dyDescent="0.3">
      <c r="A11" s="33"/>
      <c r="B11" s="12">
        <v>0</v>
      </c>
      <c r="C11" s="12">
        <v>0</v>
      </c>
      <c r="D11" s="26">
        <v>0</v>
      </c>
      <c r="E11" s="25">
        <v>0</v>
      </c>
      <c r="F11" s="26">
        <v>0</v>
      </c>
      <c r="G11" s="25">
        <v>0</v>
      </c>
      <c r="H11" s="26">
        <v>0</v>
      </c>
      <c r="I11" s="25">
        <v>0</v>
      </c>
      <c r="J11" s="26">
        <v>0</v>
      </c>
      <c r="K11" s="25">
        <v>0</v>
      </c>
      <c r="L11" s="26">
        <v>0</v>
      </c>
      <c r="M11" s="25">
        <v>0</v>
      </c>
      <c r="O11" s="1">
        <v>10</v>
      </c>
      <c r="P11" s="1"/>
      <c r="Q11" s="1"/>
      <c r="R11" s="1"/>
    </row>
    <row r="12" spans="1:19" x14ac:dyDescent="0.3">
      <c r="A12" s="33"/>
      <c r="B12" s="12">
        <v>0</v>
      </c>
      <c r="C12" s="34">
        <v>0</v>
      </c>
      <c r="D12" s="26">
        <v>0</v>
      </c>
      <c r="E12" s="25">
        <v>0</v>
      </c>
      <c r="F12" s="26">
        <v>0</v>
      </c>
      <c r="G12" s="25">
        <v>0</v>
      </c>
      <c r="H12" s="26">
        <v>0</v>
      </c>
      <c r="I12" s="25">
        <v>0</v>
      </c>
      <c r="J12" s="26">
        <v>0</v>
      </c>
      <c r="K12" s="25">
        <v>0</v>
      </c>
      <c r="L12" s="26">
        <v>0</v>
      </c>
      <c r="M12" s="25">
        <v>0</v>
      </c>
    </row>
    <row r="13" spans="1:19" x14ac:dyDescent="0.3">
      <c r="A13" s="33"/>
      <c r="B13" s="12">
        <v>0</v>
      </c>
      <c r="C13" s="34">
        <v>0</v>
      </c>
      <c r="D13" s="26">
        <v>0</v>
      </c>
      <c r="E13" s="25">
        <v>0</v>
      </c>
      <c r="F13" s="26">
        <v>0</v>
      </c>
      <c r="G13" s="25">
        <v>0</v>
      </c>
      <c r="H13" s="26">
        <v>0</v>
      </c>
      <c r="I13" s="25">
        <v>0</v>
      </c>
      <c r="J13" s="26">
        <v>0</v>
      </c>
      <c r="K13" s="25">
        <v>0</v>
      </c>
      <c r="L13" s="26">
        <v>0</v>
      </c>
      <c r="M13" s="25">
        <v>0</v>
      </c>
    </row>
    <row r="14" spans="1:19" x14ac:dyDescent="0.3">
      <c r="A14" s="33"/>
      <c r="B14" s="12">
        <v>0</v>
      </c>
      <c r="C14" s="12">
        <v>0</v>
      </c>
      <c r="D14" s="26">
        <v>0</v>
      </c>
      <c r="E14" s="25">
        <v>0</v>
      </c>
      <c r="F14" s="26">
        <v>0</v>
      </c>
      <c r="G14" s="25">
        <v>0</v>
      </c>
      <c r="H14" s="48">
        <v>0</v>
      </c>
      <c r="I14" s="49">
        <v>0</v>
      </c>
      <c r="J14" s="43">
        <v>0</v>
      </c>
      <c r="K14" s="90">
        <v>0</v>
      </c>
      <c r="L14" s="93">
        <v>0</v>
      </c>
      <c r="M14" s="92">
        <v>0</v>
      </c>
    </row>
    <row r="15" spans="1:19" x14ac:dyDescent="0.3">
      <c r="A15" s="33"/>
      <c r="B15" s="34">
        <v>0</v>
      </c>
      <c r="C15" s="34">
        <v>0</v>
      </c>
      <c r="D15" s="36">
        <v>0</v>
      </c>
      <c r="E15" s="25">
        <v>0</v>
      </c>
      <c r="F15" s="26">
        <v>0</v>
      </c>
      <c r="G15" s="25">
        <v>0</v>
      </c>
      <c r="H15" s="36">
        <v>0</v>
      </c>
      <c r="I15" s="25">
        <v>0</v>
      </c>
      <c r="J15" s="36">
        <v>0</v>
      </c>
      <c r="K15" s="25">
        <v>0</v>
      </c>
      <c r="L15" s="36">
        <v>0</v>
      </c>
      <c r="M15" s="25">
        <v>0</v>
      </c>
    </row>
    <row r="16" spans="1:19" x14ac:dyDescent="0.3">
      <c r="A16" s="33"/>
      <c r="B16" s="34">
        <v>0</v>
      </c>
      <c r="C16" s="34">
        <v>0</v>
      </c>
      <c r="D16" s="26">
        <v>0</v>
      </c>
      <c r="E16" s="25">
        <v>0</v>
      </c>
      <c r="F16" s="26">
        <v>0</v>
      </c>
      <c r="G16" s="25">
        <v>0</v>
      </c>
      <c r="H16" s="26">
        <v>0</v>
      </c>
      <c r="I16" s="25">
        <v>0</v>
      </c>
      <c r="J16" s="26">
        <v>0</v>
      </c>
      <c r="K16" s="25">
        <v>0</v>
      </c>
      <c r="L16" s="26">
        <v>0</v>
      </c>
      <c r="M16" s="25">
        <v>0</v>
      </c>
    </row>
    <row r="17" spans="1:13" x14ac:dyDescent="0.3">
      <c r="A17" s="33"/>
      <c r="B17" s="34">
        <v>0</v>
      </c>
      <c r="C17" s="12">
        <v>0</v>
      </c>
      <c r="D17" s="26">
        <v>0</v>
      </c>
      <c r="E17" s="25">
        <v>0</v>
      </c>
      <c r="F17" s="26">
        <v>0</v>
      </c>
      <c r="G17" s="25">
        <v>0</v>
      </c>
      <c r="H17" s="26">
        <v>0</v>
      </c>
      <c r="I17" s="25">
        <v>0</v>
      </c>
      <c r="J17" s="26">
        <v>0</v>
      </c>
      <c r="K17" s="25">
        <v>0</v>
      </c>
      <c r="L17" s="26">
        <v>0</v>
      </c>
      <c r="M17" s="25">
        <v>0</v>
      </c>
    </row>
    <row r="18" spans="1:13" x14ac:dyDescent="0.3">
      <c r="A18" s="33"/>
      <c r="B18" s="34">
        <v>0</v>
      </c>
      <c r="C18" s="34">
        <v>0</v>
      </c>
      <c r="D18" s="26">
        <v>0</v>
      </c>
      <c r="E18" s="25">
        <v>0</v>
      </c>
      <c r="F18" s="26">
        <v>0</v>
      </c>
      <c r="G18" s="25">
        <v>0</v>
      </c>
      <c r="H18" s="26">
        <v>0</v>
      </c>
      <c r="I18" s="25">
        <v>0</v>
      </c>
      <c r="J18" s="26">
        <v>0</v>
      </c>
      <c r="K18" s="25">
        <v>0</v>
      </c>
      <c r="L18" s="26">
        <v>0</v>
      </c>
      <c r="M18" s="25">
        <v>0</v>
      </c>
    </row>
    <row r="19" spans="1:13" x14ac:dyDescent="0.3">
      <c r="A19" s="33"/>
      <c r="B19" s="12">
        <v>0</v>
      </c>
      <c r="C19" s="12">
        <v>0</v>
      </c>
      <c r="D19" s="26">
        <v>0</v>
      </c>
      <c r="E19" s="25">
        <v>0</v>
      </c>
      <c r="F19" s="26">
        <v>0</v>
      </c>
      <c r="G19" s="25">
        <v>0</v>
      </c>
      <c r="H19" s="26">
        <v>0</v>
      </c>
      <c r="I19" s="25">
        <v>0</v>
      </c>
      <c r="J19" s="26">
        <v>0</v>
      </c>
      <c r="K19" s="25">
        <v>0</v>
      </c>
      <c r="L19" s="26">
        <v>0</v>
      </c>
      <c r="M19" s="25">
        <v>0</v>
      </c>
    </row>
    <row r="20" spans="1:13" x14ac:dyDescent="0.3">
      <c r="A20" s="33"/>
      <c r="B20" s="12">
        <v>0</v>
      </c>
      <c r="C20" s="25">
        <v>0</v>
      </c>
      <c r="D20" s="26">
        <v>0</v>
      </c>
      <c r="E20" s="25">
        <v>0</v>
      </c>
      <c r="F20" s="47">
        <v>0</v>
      </c>
      <c r="G20" s="90">
        <v>0</v>
      </c>
      <c r="H20" s="48">
        <v>0</v>
      </c>
      <c r="I20" s="49">
        <v>0</v>
      </c>
      <c r="J20" s="43">
        <v>0</v>
      </c>
      <c r="K20" s="90">
        <v>0</v>
      </c>
      <c r="L20" s="93">
        <v>0</v>
      </c>
      <c r="M20" s="92">
        <v>0</v>
      </c>
    </row>
    <row r="21" spans="1:13" x14ac:dyDescent="0.3">
      <c r="A21" s="33"/>
      <c r="B21" s="92">
        <v>0</v>
      </c>
      <c r="C21" s="92">
        <v>0</v>
      </c>
      <c r="D21" s="92">
        <v>0</v>
      </c>
      <c r="E21" s="92">
        <v>0</v>
      </c>
      <c r="F21" s="92">
        <v>0</v>
      </c>
      <c r="G21" s="92">
        <v>0</v>
      </c>
      <c r="H21" s="92">
        <v>0</v>
      </c>
      <c r="I21" s="92">
        <v>0</v>
      </c>
      <c r="J21" s="92">
        <v>0</v>
      </c>
      <c r="K21" s="92">
        <v>0</v>
      </c>
      <c r="L21" s="92">
        <v>0</v>
      </c>
      <c r="M21" s="92">
        <v>0</v>
      </c>
    </row>
    <row r="22" spans="1:13" x14ac:dyDescent="0.3">
      <c r="A22" s="33"/>
      <c r="B22" s="12">
        <v>0</v>
      </c>
      <c r="C22" s="25">
        <v>0</v>
      </c>
      <c r="D22" s="26">
        <v>0</v>
      </c>
      <c r="E22" s="25">
        <v>0</v>
      </c>
      <c r="F22" s="47">
        <v>0</v>
      </c>
      <c r="G22" s="90">
        <v>0</v>
      </c>
      <c r="H22" s="48">
        <v>0</v>
      </c>
      <c r="I22" s="49">
        <v>0</v>
      </c>
      <c r="J22" s="43">
        <v>0</v>
      </c>
      <c r="K22" s="90">
        <v>0</v>
      </c>
      <c r="L22" s="93">
        <v>0</v>
      </c>
      <c r="M22" s="92">
        <v>0</v>
      </c>
    </row>
    <row r="23" spans="1:13" x14ac:dyDescent="0.3">
      <c r="A23" s="33"/>
      <c r="B23" s="92">
        <v>0</v>
      </c>
      <c r="C23" s="92">
        <v>0</v>
      </c>
      <c r="D23" s="92">
        <v>0</v>
      </c>
      <c r="E23" s="92">
        <v>0</v>
      </c>
      <c r="F23" s="92">
        <v>0</v>
      </c>
      <c r="G23" s="92">
        <v>0</v>
      </c>
      <c r="H23" s="92">
        <v>0</v>
      </c>
      <c r="I23" s="92">
        <v>0</v>
      </c>
      <c r="J23" s="92">
        <v>0</v>
      </c>
      <c r="K23" s="92">
        <v>0</v>
      </c>
      <c r="L23" s="92">
        <v>0</v>
      </c>
      <c r="M23" s="92">
        <v>0</v>
      </c>
    </row>
    <row r="24" spans="1:13" x14ac:dyDescent="0.3">
      <c r="A24" s="33"/>
      <c r="B24" s="12">
        <v>0</v>
      </c>
      <c r="C24" s="25">
        <v>0</v>
      </c>
      <c r="D24" s="26">
        <v>0</v>
      </c>
      <c r="E24" s="25">
        <v>0</v>
      </c>
      <c r="F24" s="47">
        <v>0</v>
      </c>
      <c r="G24" s="90">
        <v>0</v>
      </c>
      <c r="H24" s="48">
        <v>0</v>
      </c>
      <c r="I24" s="49">
        <v>0</v>
      </c>
      <c r="J24" s="43">
        <v>0</v>
      </c>
      <c r="K24" s="90">
        <v>0</v>
      </c>
      <c r="L24" s="93">
        <v>0</v>
      </c>
      <c r="M24" s="92">
        <v>0</v>
      </c>
    </row>
    <row r="25" spans="1:13" ht="21" thickBot="1" x14ac:dyDescent="0.35">
      <c r="A25" s="33"/>
      <c r="B25" s="24">
        <v>0</v>
      </c>
      <c r="C25" s="25">
        <v>0</v>
      </c>
      <c r="D25" s="26">
        <v>0</v>
      </c>
      <c r="E25" s="25">
        <v>0</v>
      </c>
      <c r="F25" s="90">
        <v>0</v>
      </c>
      <c r="G25" s="90">
        <v>0</v>
      </c>
      <c r="H25" s="48">
        <v>0</v>
      </c>
      <c r="I25" s="49">
        <v>0</v>
      </c>
      <c r="J25" s="43">
        <v>0</v>
      </c>
      <c r="K25" s="90">
        <v>0</v>
      </c>
      <c r="L25" s="93">
        <v>0</v>
      </c>
      <c r="M25" s="92">
        <v>0</v>
      </c>
    </row>
    <row r="26" spans="1:13" ht="22" thickTop="1" thickBot="1" x14ac:dyDescent="0.35">
      <c r="A26" s="31" t="s">
        <v>33</v>
      </c>
      <c r="B26" s="32">
        <f>SUM(B3:B25)</f>
        <v>0</v>
      </c>
      <c r="C26" s="32">
        <f t="shared" ref="C26:M26" si="0">SUM(C3:C25)</f>
        <v>0</v>
      </c>
      <c r="D26" s="32">
        <f t="shared" si="0"/>
        <v>0</v>
      </c>
      <c r="E26" s="32">
        <f t="shared" si="0"/>
        <v>0</v>
      </c>
      <c r="F26" s="32">
        <f t="shared" si="0"/>
        <v>0</v>
      </c>
      <c r="G26" s="32">
        <f t="shared" si="0"/>
        <v>0</v>
      </c>
      <c r="H26" s="32">
        <f t="shared" si="0"/>
        <v>0</v>
      </c>
      <c r="I26" s="32">
        <f t="shared" si="0"/>
        <v>0</v>
      </c>
      <c r="J26" s="32">
        <f t="shared" si="0"/>
        <v>0</v>
      </c>
      <c r="K26" s="32">
        <f t="shared" si="0"/>
        <v>0</v>
      </c>
      <c r="L26" s="32">
        <f t="shared" si="0"/>
        <v>0</v>
      </c>
      <c r="M26" s="32">
        <f t="shared" si="0"/>
        <v>0</v>
      </c>
    </row>
    <row r="27" spans="1:13" ht="21" thickTop="1" x14ac:dyDescent="0.3">
      <c r="A27" s="88"/>
      <c r="B27" s="88" t="s">
        <v>35</v>
      </c>
      <c r="C27" s="88" t="s">
        <v>37</v>
      </c>
      <c r="D27" s="88" t="s">
        <v>35</v>
      </c>
      <c r="E27" s="88" t="s">
        <v>37</v>
      </c>
      <c r="F27" s="88" t="s">
        <v>35</v>
      </c>
      <c r="G27" s="88" t="s">
        <v>37</v>
      </c>
      <c r="H27" s="88" t="s">
        <v>35</v>
      </c>
      <c r="I27" s="88" t="s">
        <v>37</v>
      </c>
      <c r="J27" s="88" t="s">
        <v>35</v>
      </c>
      <c r="K27" s="88" t="s">
        <v>37</v>
      </c>
      <c r="L27" s="88" t="s">
        <v>35</v>
      </c>
      <c r="M27" s="88" t="s">
        <v>37</v>
      </c>
    </row>
    <row r="28" spans="1:13" x14ac:dyDescent="0.3">
      <c r="A28" s="41" t="s">
        <v>42</v>
      </c>
      <c r="B28" s="42">
        <f>AVERAGE(B3:B25)</f>
        <v>0</v>
      </c>
      <c r="C28" s="42">
        <f t="shared" ref="C28:M28" si="1">AVERAGE(C3:C25)</f>
        <v>0</v>
      </c>
      <c r="D28" s="42">
        <f t="shared" si="1"/>
        <v>0</v>
      </c>
      <c r="E28" s="42">
        <f t="shared" si="1"/>
        <v>0</v>
      </c>
      <c r="F28" s="42">
        <f t="shared" si="1"/>
        <v>0</v>
      </c>
      <c r="G28" s="42">
        <f t="shared" si="1"/>
        <v>0</v>
      </c>
      <c r="H28" s="42">
        <f t="shared" si="1"/>
        <v>0</v>
      </c>
      <c r="I28" s="42">
        <f t="shared" si="1"/>
        <v>0</v>
      </c>
      <c r="J28" s="42">
        <f t="shared" si="1"/>
        <v>0</v>
      </c>
      <c r="K28" s="42">
        <f t="shared" si="1"/>
        <v>0</v>
      </c>
      <c r="L28" s="42">
        <f t="shared" si="1"/>
        <v>0</v>
      </c>
      <c r="M28" s="42">
        <f t="shared" si="1"/>
        <v>0</v>
      </c>
    </row>
    <row r="29" spans="1:13" x14ac:dyDescent="0.3">
      <c r="A29" s="1" t="s">
        <v>44</v>
      </c>
      <c r="B29" s="121">
        <f>SUM(B28,C28)</f>
        <v>0</v>
      </c>
      <c r="C29" s="122"/>
      <c r="D29" s="121">
        <f t="shared" ref="D29" si="2">SUM(D28,E28)</f>
        <v>0</v>
      </c>
      <c r="E29" s="122"/>
      <c r="F29" s="121">
        <f t="shared" ref="F29" si="3">SUM(F28,G28)</f>
        <v>0</v>
      </c>
      <c r="G29" s="122"/>
      <c r="H29" s="121">
        <f t="shared" ref="H29" si="4">SUM(H28,I28)</f>
        <v>0</v>
      </c>
      <c r="I29" s="122"/>
      <c r="J29" s="121">
        <f t="shared" ref="J29" si="5">SUM(J28,K28)</f>
        <v>0</v>
      </c>
      <c r="K29" s="122"/>
      <c r="L29" s="121">
        <f t="shared" ref="L29" si="6">SUM(L28,M28)</f>
        <v>0</v>
      </c>
      <c r="M29" s="122"/>
    </row>
    <row r="30" spans="1:13" ht="21" thickBot="1" x14ac:dyDescent="0.35"/>
    <row r="31" spans="1:13" ht="22" thickTop="1" thickBot="1" x14ac:dyDescent="0.35">
      <c r="A31" s="6" t="s">
        <v>61</v>
      </c>
      <c r="B31" s="123" t="s">
        <v>13</v>
      </c>
      <c r="C31" s="124"/>
      <c r="D31" s="124"/>
      <c r="E31" s="124"/>
      <c r="F31" s="124"/>
      <c r="G31" s="124"/>
      <c r="H31" s="124"/>
      <c r="I31" s="124"/>
      <c r="J31" s="124"/>
      <c r="K31" s="124"/>
      <c r="L31" s="124"/>
      <c r="M31" s="125"/>
    </row>
    <row r="32" spans="1:13" ht="21" thickBot="1" x14ac:dyDescent="0.35">
      <c r="A32" s="87" t="s">
        <v>5</v>
      </c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</row>
    <row r="33" spans="1:13" ht="21" thickTop="1" x14ac:dyDescent="0.3">
      <c r="A33" s="52"/>
      <c r="B33" s="8">
        <v>0</v>
      </c>
      <c r="C33" s="8">
        <v>0</v>
      </c>
      <c r="D33" s="18">
        <v>0</v>
      </c>
      <c r="E33" s="8">
        <v>0</v>
      </c>
      <c r="F33" s="1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</row>
    <row r="34" spans="1:13" x14ac:dyDescent="0.3">
      <c r="A34" s="52"/>
      <c r="B34" s="12">
        <v>0</v>
      </c>
      <c r="C34" s="35">
        <v>0</v>
      </c>
      <c r="D34" s="18">
        <v>0</v>
      </c>
      <c r="E34" s="35">
        <v>0</v>
      </c>
      <c r="F34" s="18">
        <v>0</v>
      </c>
      <c r="G34" s="18">
        <v>0</v>
      </c>
      <c r="H34" s="44">
        <v>0</v>
      </c>
      <c r="I34" s="45">
        <v>0</v>
      </c>
      <c r="J34" s="43">
        <v>0</v>
      </c>
      <c r="K34" s="43">
        <v>0</v>
      </c>
      <c r="L34" s="44">
        <v>0</v>
      </c>
      <c r="M34" s="46">
        <v>0</v>
      </c>
    </row>
    <row r="35" spans="1:13" x14ac:dyDescent="0.3">
      <c r="A35" s="52"/>
      <c r="B35" s="12">
        <v>0</v>
      </c>
      <c r="C35" s="16">
        <v>0</v>
      </c>
      <c r="D35" s="18">
        <v>0</v>
      </c>
      <c r="E35" s="16">
        <v>0</v>
      </c>
      <c r="F35" s="18">
        <v>0</v>
      </c>
      <c r="G35" s="18">
        <v>0</v>
      </c>
      <c r="H35" s="48">
        <v>0</v>
      </c>
      <c r="I35" s="18">
        <v>0</v>
      </c>
      <c r="J35" s="43">
        <v>0</v>
      </c>
      <c r="K35" s="18">
        <v>0</v>
      </c>
      <c r="L35" s="48">
        <v>0</v>
      </c>
      <c r="M35" s="50">
        <v>0</v>
      </c>
    </row>
    <row r="36" spans="1:13" x14ac:dyDescent="0.3">
      <c r="A36" s="52"/>
      <c r="B36" s="36">
        <v>0</v>
      </c>
      <c r="C36" s="25">
        <v>0</v>
      </c>
      <c r="D36" s="36">
        <v>0</v>
      </c>
      <c r="E36" s="25">
        <v>0</v>
      </c>
      <c r="F36" s="36">
        <v>0</v>
      </c>
      <c r="G36" s="25">
        <v>0</v>
      </c>
      <c r="H36" s="36">
        <v>0</v>
      </c>
      <c r="I36" s="25">
        <v>0</v>
      </c>
      <c r="J36" s="36">
        <v>0</v>
      </c>
      <c r="K36" s="25">
        <v>0</v>
      </c>
      <c r="L36" s="36">
        <v>0</v>
      </c>
      <c r="M36" s="25">
        <v>0</v>
      </c>
    </row>
    <row r="37" spans="1:13" x14ac:dyDescent="0.3">
      <c r="A37" s="52"/>
      <c r="B37" s="26">
        <v>0</v>
      </c>
      <c r="C37" s="25">
        <v>0</v>
      </c>
      <c r="D37" s="26">
        <v>0</v>
      </c>
      <c r="E37" s="25">
        <v>0</v>
      </c>
      <c r="F37" s="26">
        <v>0</v>
      </c>
      <c r="G37" s="25">
        <v>0</v>
      </c>
      <c r="H37" s="26">
        <v>0</v>
      </c>
      <c r="I37" s="25">
        <v>0</v>
      </c>
      <c r="J37" s="26">
        <v>0</v>
      </c>
      <c r="K37" s="25">
        <v>0</v>
      </c>
      <c r="L37" s="26">
        <v>0</v>
      </c>
      <c r="M37" s="25">
        <v>0</v>
      </c>
    </row>
    <row r="38" spans="1:13" x14ac:dyDescent="0.3">
      <c r="A38" s="52"/>
      <c r="B38" s="26">
        <v>0</v>
      </c>
      <c r="C38" s="25">
        <v>0</v>
      </c>
      <c r="D38" s="26">
        <v>0</v>
      </c>
      <c r="E38" s="25">
        <v>0</v>
      </c>
      <c r="F38" s="26">
        <v>0</v>
      </c>
      <c r="G38" s="25">
        <v>0</v>
      </c>
      <c r="H38" s="26">
        <v>0</v>
      </c>
      <c r="I38" s="25">
        <v>0</v>
      </c>
      <c r="J38" s="26">
        <v>0</v>
      </c>
      <c r="K38" s="25">
        <v>0</v>
      </c>
      <c r="L38" s="26">
        <v>0</v>
      </c>
      <c r="M38" s="25">
        <v>0</v>
      </c>
    </row>
    <row r="39" spans="1:13" x14ac:dyDescent="0.3">
      <c r="A39" s="52"/>
      <c r="B39" s="26">
        <v>0</v>
      </c>
      <c r="C39" s="25">
        <v>0</v>
      </c>
      <c r="D39" s="26">
        <v>0</v>
      </c>
      <c r="E39" s="25">
        <v>0</v>
      </c>
      <c r="F39" s="26">
        <v>0</v>
      </c>
      <c r="G39" s="25">
        <v>0</v>
      </c>
      <c r="H39" s="26">
        <v>0</v>
      </c>
      <c r="I39" s="25">
        <v>0</v>
      </c>
      <c r="J39" s="26">
        <v>0</v>
      </c>
      <c r="K39" s="25">
        <v>0</v>
      </c>
      <c r="L39" s="26">
        <v>0</v>
      </c>
      <c r="M39" s="25">
        <v>0</v>
      </c>
    </row>
    <row r="40" spans="1:13" x14ac:dyDescent="0.3">
      <c r="A40" s="52"/>
      <c r="B40" s="26">
        <v>0</v>
      </c>
      <c r="C40" s="25">
        <v>0</v>
      </c>
      <c r="D40" s="26">
        <v>0</v>
      </c>
      <c r="E40" s="25">
        <v>0</v>
      </c>
      <c r="F40" s="26">
        <v>0</v>
      </c>
      <c r="G40" s="25">
        <v>0</v>
      </c>
      <c r="H40" s="26">
        <v>0</v>
      </c>
      <c r="I40" s="25">
        <v>0</v>
      </c>
      <c r="J40" s="26">
        <v>0</v>
      </c>
      <c r="K40" s="25">
        <v>0</v>
      </c>
      <c r="L40" s="26">
        <v>0</v>
      </c>
      <c r="M40" s="25">
        <v>0</v>
      </c>
    </row>
    <row r="41" spans="1:13" x14ac:dyDescent="0.3">
      <c r="A41" s="52"/>
      <c r="B41" s="36">
        <v>0</v>
      </c>
      <c r="C41" s="25">
        <v>0</v>
      </c>
      <c r="D41" s="26">
        <v>0</v>
      </c>
      <c r="E41" s="25">
        <v>0</v>
      </c>
      <c r="F41" s="36">
        <v>0</v>
      </c>
      <c r="G41" s="25">
        <v>0</v>
      </c>
      <c r="H41" s="26">
        <v>0</v>
      </c>
      <c r="I41" s="25">
        <v>0</v>
      </c>
      <c r="J41" s="36">
        <v>0</v>
      </c>
      <c r="K41" s="25">
        <v>0</v>
      </c>
      <c r="L41" s="36">
        <v>0</v>
      </c>
      <c r="M41" s="25">
        <v>0</v>
      </c>
    </row>
    <row r="42" spans="1:13" x14ac:dyDescent="0.3">
      <c r="A42" s="52"/>
      <c r="B42" s="26">
        <v>0</v>
      </c>
      <c r="C42" s="25">
        <v>0</v>
      </c>
      <c r="D42" s="26">
        <v>0</v>
      </c>
      <c r="E42" s="25">
        <v>0</v>
      </c>
      <c r="F42" s="26">
        <v>0</v>
      </c>
      <c r="G42" s="25">
        <v>0</v>
      </c>
      <c r="H42" s="26">
        <v>0</v>
      </c>
      <c r="I42" s="25">
        <v>0</v>
      </c>
      <c r="J42" s="26">
        <v>0</v>
      </c>
      <c r="K42" s="25">
        <v>0</v>
      </c>
      <c r="L42" s="26">
        <v>0</v>
      </c>
      <c r="M42" s="25">
        <v>0</v>
      </c>
    </row>
    <row r="43" spans="1:13" x14ac:dyDescent="0.3">
      <c r="A43" s="52"/>
      <c r="B43" s="26">
        <v>0</v>
      </c>
      <c r="C43" s="25">
        <v>0</v>
      </c>
      <c r="D43" s="26">
        <v>0</v>
      </c>
      <c r="E43" s="25">
        <v>0</v>
      </c>
      <c r="F43" s="26">
        <v>0</v>
      </c>
      <c r="G43" s="25">
        <v>0</v>
      </c>
      <c r="H43" s="26">
        <v>0</v>
      </c>
      <c r="I43" s="25">
        <v>0</v>
      </c>
      <c r="J43" s="26">
        <v>0</v>
      </c>
      <c r="K43" s="25">
        <v>0</v>
      </c>
      <c r="L43" s="26">
        <v>0</v>
      </c>
      <c r="M43" s="25">
        <v>0</v>
      </c>
    </row>
    <row r="44" spans="1:13" x14ac:dyDescent="0.3">
      <c r="A44" s="52"/>
      <c r="B44" s="26">
        <v>0</v>
      </c>
      <c r="C44" s="25">
        <v>0</v>
      </c>
      <c r="D44" s="26">
        <v>0</v>
      </c>
      <c r="E44" s="25">
        <v>0</v>
      </c>
      <c r="F44" s="26">
        <v>0</v>
      </c>
      <c r="G44" s="25">
        <v>0</v>
      </c>
      <c r="H44" s="26">
        <v>0</v>
      </c>
      <c r="I44" s="25">
        <v>0</v>
      </c>
      <c r="J44" s="26">
        <v>0</v>
      </c>
      <c r="K44" s="25">
        <v>0</v>
      </c>
      <c r="L44" s="26">
        <v>0</v>
      </c>
      <c r="M44" s="25">
        <v>0</v>
      </c>
    </row>
    <row r="45" spans="1:13" x14ac:dyDescent="0.3">
      <c r="A45" s="52"/>
      <c r="B45" s="26">
        <v>0</v>
      </c>
      <c r="C45" s="25">
        <v>0</v>
      </c>
      <c r="D45" s="26">
        <v>0</v>
      </c>
      <c r="E45" s="25">
        <v>0</v>
      </c>
      <c r="F45" s="26">
        <v>0</v>
      </c>
      <c r="G45" s="25">
        <v>0</v>
      </c>
      <c r="H45" s="36">
        <v>0</v>
      </c>
      <c r="I45" s="25">
        <v>0</v>
      </c>
      <c r="J45" s="26">
        <v>0</v>
      </c>
      <c r="K45" s="25">
        <v>0</v>
      </c>
      <c r="L45" s="26">
        <v>0</v>
      </c>
      <c r="M45" s="25">
        <v>0</v>
      </c>
    </row>
    <row r="46" spans="1:13" x14ac:dyDescent="0.3">
      <c r="A46" s="52"/>
      <c r="B46" s="12">
        <v>0</v>
      </c>
      <c r="C46" s="16">
        <v>0</v>
      </c>
      <c r="D46" s="18">
        <v>0</v>
      </c>
      <c r="E46" s="16">
        <v>0</v>
      </c>
      <c r="F46" s="18">
        <v>0</v>
      </c>
      <c r="G46" s="18">
        <v>0</v>
      </c>
      <c r="H46" s="26">
        <v>0</v>
      </c>
      <c r="I46" s="25">
        <v>0</v>
      </c>
      <c r="J46" s="43">
        <v>0</v>
      </c>
      <c r="K46" s="18">
        <v>0</v>
      </c>
      <c r="L46" s="48">
        <v>0</v>
      </c>
      <c r="M46" s="50">
        <v>0</v>
      </c>
    </row>
    <row r="47" spans="1:13" x14ac:dyDescent="0.3">
      <c r="A47" s="52"/>
      <c r="B47" s="12">
        <v>0</v>
      </c>
      <c r="C47" s="16">
        <v>0</v>
      </c>
      <c r="D47" s="18">
        <v>0</v>
      </c>
      <c r="E47" s="16">
        <v>0</v>
      </c>
      <c r="F47" s="18">
        <v>0</v>
      </c>
      <c r="G47" s="18">
        <v>0</v>
      </c>
      <c r="H47" s="26">
        <v>0</v>
      </c>
      <c r="I47" s="25">
        <v>0</v>
      </c>
      <c r="J47" s="43">
        <v>0</v>
      </c>
      <c r="K47" s="18">
        <v>0</v>
      </c>
      <c r="L47" s="48">
        <v>0</v>
      </c>
      <c r="M47" s="50">
        <v>0</v>
      </c>
    </row>
    <row r="48" spans="1:13" x14ac:dyDescent="0.3">
      <c r="A48" s="52"/>
      <c r="B48" s="12">
        <v>0</v>
      </c>
      <c r="C48" s="16">
        <v>0</v>
      </c>
      <c r="D48" s="18">
        <v>0</v>
      </c>
      <c r="E48" s="16">
        <v>0</v>
      </c>
      <c r="F48" s="18">
        <v>0</v>
      </c>
      <c r="G48" s="18">
        <v>0</v>
      </c>
      <c r="H48" s="26">
        <v>0</v>
      </c>
      <c r="I48" s="25">
        <v>0</v>
      </c>
      <c r="J48" s="43">
        <v>0</v>
      </c>
      <c r="K48" s="18">
        <v>0</v>
      </c>
      <c r="L48" s="48">
        <v>0</v>
      </c>
      <c r="M48" s="50">
        <v>0</v>
      </c>
    </row>
    <row r="49" spans="1:13" x14ac:dyDescent="0.3">
      <c r="A49" s="52"/>
      <c r="B49" s="12">
        <v>0</v>
      </c>
      <c r="C49" s="16">
        <v>0</v>
      </c>
      <c r="D49" s="18">
        <v>0</v>
      </c>
      <c r="E49" s="16">
        <v>0</v>
      </c>
      <c r="F49" s="18">
        <v>0</v>
      </c>
      <c r="G49" s="18">
        <v>0</v>
      </c>
      <c r="H49" s="26">
        <v>0</v>
      </c>
      <c r="I49" s="25">
        <v>0</v>
      </c>
      <c r="J49" s="43">
        <v>0</v>
      </c>
      <c r="K49" s="18">
        <v>0</v>
      </c>
      <c r="L49" s="48">
        <v>0</v>
      </c>
      <c r="M49" s="50">
        <v>0</v>
      </c>
    </row>
    <row r="50" spans="1:13" x14ac:dyDescent="0.3">
      <c r="A50" s="52"/>
      <c r="B50" s="12">
        <v>0</v>
      </c>
      <c r="C50" s="16">
        <v>0</v>
      </c>
      <c r="D50" s="18">
        <v>0</v>
      </c>
      <c r="E50" s="16">
        <v>0</v>
      </c>
      <c r="F50" s="18">
        <v>0</v>
      </c>
      <c r="G50" s="18">
        <v>0</v>
      </c>
      <c r="H50" s="48">
        <v>0</v>
      </c>
      <c r="I50" s="18">
        <v>0</v>
      </c>
      <c r="J50" s="43">
        <v>0</v>
      </c>
      <c r="K50" s="18">
        <v>0</v>
      </c>
      <c r="L50" s="48">
        <v>0</v>
      </c>
      <c r="M50" s="50">
        <v>0</v>
      </c>
    </row>
    <row r="51" spans="1:13" x14ac:dyDescent="0.3">
      <c r="A51" s="52"/>
      <c r="B51" s="12">
        <v>0</v>
      </c>
      <c r="C51" s="16">
        <v>0</v>
      </c>
      <c r="D51" s="18">
        <v>0</v>
      </c>
      <c r="E51" s="16">
        <v>0</v>
      </c>
      <c r="F51" s="18">
        <v>0</v>
      </c>
      <c r="G51" s="18">
        <v>0</v>
      </c>
      <c r="H51" s="48">
        <v>0</v>
      </c>
      <c r="I51" s="18">
        <v>0</v>
      </c>
      <c r="J51" s="43">
        <v>0</v>
      </c>
      <c r="K51" s="18">
        <v>0</v>
      </c>
      <c r="L51" s="48">
        <v>0</v>
      </c>
      <c r="M51" s="50">
        <v>0</v>
      </c>
    </row>
    <row r="52" spans="1:13" x14ac:dyDescent="0.3">
      <c r="A52" s="52"/>
      <c r="B52" s="12">
        <v>0</v>
      </c>
      <c r="C52" s="16">
        <v>0</v>
      </c>
      <c r="D52" s="18">
        <v>0</v>
      </c>
      <c r="E52" s="16">
        <v>0</v>
      </c>
      <c r="F52" s="18">
        <v>0</v>
      </c>
      <c r="G52" s="18">
        <v>0</v>
      </c>
      <c r="H52" s="48">
        <v>0</v>
      </c>
      <c r="I52" s="18">
        <v>0</v>
      </c>
      <c r="J52" s="43">
        <v>0</v>
      </c>
      <c r="K52" s="18">
        <v>0</v>
      </c>
      <c r="L52" s="48">
        <v>0</v>
      </c>
      <c r="M52" s="50">
        <v>0</v>
      </c>
    </row>
    <row r="53" spans="1:13" ht="21" thickBot="1" x14ac:dyDescent="0.35">
      <c r="A53" s="52"/>
      <c r="B53" s="12">
        <v>0</v>
      </c>
      <c r="C53" s="16">
        <v>0</v>
      </c>
      <c r="D53" s="18">
        <v>0</v>
      </c>
      <c r="E53" s="18">
        <v>0</v>
      </c>
      <c r="F53" s="18">
        <v>0</v>
      </c>
      <c r="G53" s="18">
        <v>0</v>
      </c>
      <c r="H53" s="18">
        <v>0</v>
      </c>
      <c r="I53" s="18">
        <v>0</v>
      </c>
      <c r="J53" s="18">
        <v>0</v>
      </c>
      <c r="K53" s="18">
        <v>0</v>
      </c>
      <c r="L53" s="18">
        <v>0</v>
      </c>
      <c r="M53" s="50">
        <v>0</v>
      </c>
    </row>
    <row r="54" spans="1:13" ht="22" thickTop="1" thickBot="1" x14ac:dyDescent="0.35">
      <c r="A54" s="31" t="s">
        <v>33</v>
      </c>
      <c r="B54" s="32">
        <f t="shared" ref="B54:M54" si="7">SUM(B33:B53)</f>
        <v>0</v>
      </c>
      <c r="C54" s="32">
        <f t="shared" si="7"/>
        <v>0</v>
      </c>
      <c r="D54" s="32">
        <f t="shared" si="7"/>
        <v>0</v>
      </c>
      <c r="E54" s="32">
        <f t="shared" si="7"/>
        <v>0</v>
      </c>
      <c r="F54" s="32">
        <f t="shared" si="7"/>
        <v>0</v>
      </c>
      <c r="G54" s="32">
        <f t="shared" si="7"/>
        <v>0</v>
      </c>
      <c r="H54" s="32">
        <f t="shared" si="7"/>
        <v>0</v>
      </c>
      <c r="I54" s="32">
        <f t="shared" si="7"/>
        <v>0</v>
      </c>
      <c r="J54" s="32">
        <f t="shared" si="7"/>
        <v>0</v>
      </c>
      <c r="K54" s="32">
        <f t="shared" si="7"/>
        <v>0</v>
      </c>
      <c r="L54" s="32">
        <f t="shared" si="7"/>
        <v>0</v>
      </c>
      <c r="M54" s="32">
        <f t="shared" si="7"/>
        <v>0</v>
      </c>
    </row>
    <row r="55" spans="1:13" ht="21" thickTop="1" x14ac:dyDescent="0.3">
      <c r="A55" s="88"/>
      <c r="B55" s="88" t="s">
        <v>35</v>
      </c>
      <c r="C55" s="88" t="s">
        <v>37</v>
      </c>
      <c r="D55" s="88" t="s">
        <v>35</v>
      </c>
      <c r="E55" s="88" t="s">
        <v>37</v>
      </c>
      <c r="F55" s="88" t="s">
        <v>35</v>
      </c>
      <c r="G55" s="88" t="s">
        <v>37</v>
      </c>
      <c r="H55" s="88" t="s">
        <v>35</v>
      </c>
      <c r="I55" s="88" t="s">
        <v>37</v>
      </c>
      <c r="J55" s="88" t="s">
        <v>35</v>
      </c>
      <c r="K55" s="88" t="s">
        <v>37</v>
      </c>
      <c r="L55" s="88" t="s">
        <v>35</v>
      </c>
      <c r="M55" s="88" t="s">
        <v>37</v>
      </c>
    </row>
    <row r="56" spans="1:13" x14ac:dyDescent="0.3">
      <c r="A56" s="41" t="s">
        <v>42</v>
      </c>
      <c r="B56" s="42">
        <f t="shared" ref="B56:M56" si="8">AVERAGE(B33:B53)</f>
        <v>0</v>
      </c>
      <c r="C56" s="42">
        <f t="shared" si="8"/>
        <v>0</v>
      </c>
      <c r="D56" s="42">
        <f t="shared" si="8"/>
        <v>0</v>
      </c>
      <c r="E56" s="42">
        <f t="shared" si="8"/>
        <v>0</v>
      </c>
      <c r="F56" s="42">
        <f t="shared" si="8"/>
        <v>0</v>
      </c>
      <c r="G56" s="42">
        <f t="shared" si="8"/>
        <v>0</v>
      </c>
      <c r="H56" s="42">
        <f t="shared" si="8"/>
        <v>0</v>
      </c>
      <c r="I56" s="42">
        <f t="shared" si="8"/>
        <v>0</v>
      </c>
      <c r="J56" s="42">
        <f t="shared" si="8"/>
        <v>0</v>
      </c>
      <c r="K56" s="42">
        <f t="shared" si="8"/>
        <v>0</v>
      </c>
      <c r="L56" s="42">
        <f t="shared" si="8"/>
        <v>0</v>
      </c>
      <c r="M56" s="42">
        <f t="shared" si="8"/>
        <v>0</v>
      </c>
    </row>
    <row r="57" spans="1:13" x14ac:dyDescent="0.3">
      <c r="A57" s="1" t="s">
        <v>44</v>
      </c>
      <c r="B57" s="121">
        <f>SUM(B56,C56)</f>
        <v>0</v>
      </c>
      <c r="C57" s="122"/>
      <c r="D57" s="121">
        <f t="shared" ref="D57" si="9">SUM(D56,E56)</f>
        <v>0</v>
      </c>
      <c r="E57" s="122"/>
      <c r="F57" s="121">
        <f t="shared" ref="F57" si="10">SUM(F56,G56)</f>
        <v>0</v>
      </c>
      <c r="G57" s="122"/>
      <c r="H57" s="121">
        <f t="shared" ref="H57" si="11">SUM(H56,I56)</f>
        <v>0</v>
      </c>
      <c r="I57" s="122"/>
      <c r="J57" s="121">
        <f t="shared" ref="J57" si="12">SUM(J56,K56)</f>
        <v>0</v>
      </c>
      <c r="K57" s="122"/>
      <c r="L57" s="121">
        <f t="shared" ref="L57" si="13">SUM(L56,M56)</f>
        <v>0</v>
      </c>
      <c r="M57" s="122"/>
    </row>
    <row r="58" spans="1:13" ht="21" thickBot="1" x14ac:dyDescent="0.35"/>
    <row r="59" spans="1:13" ht="22" thickTop="1" thickBot="1" x14ac:dyDescent="0.35">
      <c r="A59" s="54" t="s">
        <v>60</v>
      </c>
      <c r="B59" s="116" t="s">
        <v>12</v>
      </c>
      <c r="C59" s="117"/>
      <c r="D59" s="117"/>
      <c r="E59" s="117"/>
      <c r="F59" s="117"/>
      <c r="G59" s="117"/>
      <c r="H59" s="117"/>
      <c r="I59" s="117"/>
      <c r="J59" s="117"/>
      <c r="K59" s="117"/>
      <c r="L59" s="117"/>
      <c r="M59" s="118"/>
    </row>
    <row r="60" spans="1:13" ht="21" thickBot="1" x14ac:dyDescent="0.35">
      <c r="A60" s="56" t="s">
        <v>4</v>
      </c>
      <c r="B60" s="128"/>
      <c r="C60" s="128"/>
      <c r="D60" s="128"/>
      <c r="E60" s="128"/>
      <c r="F60" s="128"/>
      <c r="G60" s="128"/>
      <c r="H60" s="128"/>
      <c r="I60" s="128"/>
      <c r="J60" s="128"/>
      <c r="K60" s="128"/>
      <c r="L60" s="128"/>
      <c r="M60" s="128"/>
    </row>
    <row r="61" spans="1:13" ht="21" thickTop="1" x14ac:dyDescent="0.3">
      <c r="A61" s="58"/>
      <c r="B61" s="59">
        <v>0</v>
      </c>
      <c r="C61" s="59">
        <v>0</v>
      </c>
      <c r="D61" s="59">
        <v>0</v>
      </c>
      <c r="E61" s="59">
        <v>0</v>
      </c>
      <c r="F61" s="59">
        <v>0</v>
      </c>
      <c r="G61" s="59">
        <v>0</v>
      </c>
      <c r="H61" s="59">
        <v>0</v>
      </c>
      <c r="I61" s="59">
        <v>0</v>
      </c>
      <c r="J61" s="59">
        <v>0</v>
      </c>
      <c r="K61" s="59">
        <v>0</v>
      </c>
      <c r="L61" s="59">
        <v>0</v>
      </c>
      <c r="M61" s="59">
        <v>0</v>
      </c>
    </row>
    <row r="62" spans="1:13" x14ac:dyDescent="0.3">
      <c r="A62" s="58"/>
      <c r="B62" s="59">
        <v>0</v>
      </c>
      <c r="C62" s="60">
        <v>0</v>
      </c>
      <c r="D62" s="59">
        <v>0</v>
      </c>
      <c r="E62" s="60">
        <v>0</v>
      </c>
      <c r="F62" s="69">
        <v>0</v>
      </c>
      <c r="G62" s="69">
        <v>0</v>
      </c>
      <c r="H62" s="70">
        <v>0</v>
      </c>
      <c r="I62" s="71">
        <v>0</v>
      </c>
      <c r="J62" s="69">
        <v>0</v>
      </c>
      <c r="K62" s="69">
        <v>0</v>
      </c>
      <c r="L62" s="70">
        <v>0</v>
      </c>
      <c r="M62" s="72">
        <v>0</v>
      </c>
    </row>
    <row r="63" spans="1:13" x14ac:dyDescent="0.3">
      <c r="A63" s="58"/>
      <c r="B63" s="59">
        <v>0</v>
      </c>
      <c r="C63" s="60">
        <v>0</v>
      </c>
      <c r="D63" s="59">
        <v>0</v>
      </c>
      <c r="E63" s="60">
        <v>0</v>
      </c>
      <c r="F63" s="69">
        <v>0</v>
      </c>
      <c r="G63" s="69">
        <v>0</v>
      </c>
      <c r="H63" s="70">
        <v>0</v>
      </c>
      <c r="I63" s="71">
        <v>0</v>
      </c>
      <c r="J63" s="69">
        <v>0</v>
      </c>
      <c r="K63" s="69">
        <v>0</v>
      </c>
      <c r="L63" s="70">
        <v>0</v>
      </c>
      <c r="M63" s="72">
        <v>0</v>
      </c>
    </row>
    <row r="64" spans="1:13" x14ac:dyDescent="0.3">
      <c r="A64" s="58"/>
      <c r="B64" s="59">
        <v>0</v>
      </c>
      <c r="C64" s="60">
        <v>0</v>
      </c>
      <c r="D64" s="59">
        <v>0</v>
      </c>
      <c r="E64" s="60">
        <v>0</v>
      </c>
      <c r="F64" s="69">
        <v>0</v>
      </c>
      <c r="G64" s="69">
        <v>0</v>
      </c>
      <c r="H64" s="70">
        <v>0</v>
      </c>
      <c r="I64" s="71">
        <v>0</v>
      </c>
      <c r="J64" s="69">
        <v>0</v>
      </c>
      <c r="K64" s="69">
        <v>0</v>
      </c>
      <c r="L64" s="70">
        <v>0</v>
      </c>
      <c r="M64" s="72">
        <v>0</v>
      </c>
    </row>
    <row r="65" spans="1:13" x14ac:dyDescent="0.3">
      <c r="A65" s="58"/>
      <c r="B65" s="59">
        <v>0</v>
      </c>
      <c r="C65" s="60">
        <v>0</v>
      </c>
      <c r="D65" s="59">
        <v>0</v>
      </c>
      <c r="E65" s="60">
        <v>0</v>
      </c>
      <c r="F65" s="69">
        <v>0</v>
      </c>
      <c r="G65" s="69">
        <v>0</v>
      </c>
      <c r="H65" s="70">
        <v>0</v>
      </c>
      <c r="I65" s="71">
        <v>0</v>
      </c>
      <c r="J65" s="69">
        <v>0</v>
      </c>
      <c r="K65" s="69">
        <v>0</v>
      </c>
      <c r="L65" s="70">
        <v>0</v>
      </c>
      <c r="M65" s="72">
        <v>0</v>
      </c>
    </row>
    <row r="66" spans="1:13" x14ac:dyDescent="0.3">
      <c r="A66" s="58"/>
      <c r="B66" s="59">
        <v>0</v>
      </c>
      <c r="C66" s="60">
        <v>0</v>
      </c>
      <c r="D66" s="59">
        <v>0</v>
      </c>
      <c r="E66" s="60">
        <v>0</v>
      </c>
      <c r="F66" s="69">
        <v>0</v>
      </c>
      <c r="G66" s="69">
        <v>0</v>
      </c>
      <c r="H66" s="70">
        <v>0</v>
      </c>
      <c r="I66" s="71">
        <v>0</v>
      </c>
      <c r="J66" s="69">
        <v>0</v>
      </c>
      <c r="K66" s="69">
        <v>0</v>
      </c>
      <c r="L66" s="70">
        <v>0</v>
      </c>
      <c r="M66" s="72">
        <v>0</v>
      </c>
    </row>
    <row r="67" spans="1:13" x14ac:dyDescent="0.3">
      <c r="A67" s="58"/>
      <c r="B67" s="59">
        <v>0</v>
      </c>
      <c r="C67" s="60">
        <v>0</v>
      </c>
      <c r="D67" s="59">
        <v>0</v>
      </c>
      <c r="E67" s="60">
        <v>0</v>
      </c>
      <c r="F67" s="69">
        <v>0</v>
      </c>
      <c r="G67" s="69">
        <v>0</v>
      </c>
      <c r="H67" s="70">
        <v>0</v>
      </c>
      <c r="I67" s="71">
        <v>0</v>
      </c>
      <c r="J67" s="69">
        <v>0</v>
      </c>
      <c r="K67" s="69">
        <v>0</v>
      </c>
      <c r="L67" s="70">
        <v>0</v>
      </c>
      <c r="M67" s="72">
        <v>0</v>
      </c>
    </row>
    <row r="68" spans="1:13" x14ac:dyDescent="0.3">
      <c r="A68" s="58"/>
      <c r="B68" s="59">
        <v>0</v>
      </c>
      <c r="C68" s="60">
        <v>0</v>
      </c>
      <c r="D68" s="59">
        <v>0</v>
      </c>
      <c r="E68" s="60">
        <v>0</v>
      </c>
      <c r="F68" s="69">
        <v>0</v>
      </c>
      <c r="G68" s="69">
        <v>0</v>
      </c>
      <c r="H68" s="70">
        <v>0</v>
      </c>
      <c r="I68" s="71">
        <v>0</v>
      </c>
      <c r="J68" s="69">
        <v>0</v>
      </c>
      <c r="K68" s="69">
        <v>0</v>
      </c>
      <c r="L68" s="70">
        <v>0</v>
      </c>
      <c r="M68" s="72">
        <v>0</v>
      </c>
    </row>
    <row r="69" spans="1:13" x14ac:dyDescent="0.3">
      <c r="A69" s="58"/>
      <c r="B69" s="59">
        <v>0</v>
      </c>
      <c r="C69" s="60">
        <v>0</v>
      </c>
      <c r="D69" s="59">
        <v>0</v>
      </c>
      <c r="E69" s="60">
        <v>0</v>
      </c>
      <c r="F69" s="69">
        <v>0</v>
      </c>
      <c r="G69" s="69">
        <v>0</v>
      </c>
      <c r="H69" s="70">
        <v>0</v>
      </c>
      <c r="I69" s="71">
        <v>0</v>
      </c>
      <c r="J69" s="69">
        <v>0</v>
      </c>
      <c r="K69" s="69">
        <v>0</v>
      </c>
      <c r="L69" s="70">
        <v>0</v>
      </c>
      <c r="M69" s="72">
        <v>0</v>
      </c>
    </row>
    <row r="70" spans="1:13" x14ac:dyDescent="0.3">
      <c r="A70" s="58"/>
      <c r="B70" s="59">
        <v>0</v>
      </c>
      <c r="C70" s="60">
        <v>0</v>
      </c>
      <c r="D70" s="59">
        <v>0</v>
      </c>
      <c r="E70" s="60">
        <v>0</v>
      </c>
      <c r="F70" s="69">
        <v>0</v>
      </c>
      <c r="G70" s="69">
        <v>0</v>
      </c>
      <c r="H70" s="70">
        <v>0</v>
      </c>
      <c r="I70" s="71">
        <v>0</v>
      </c>
      <c r="J70" s="69">
        <v>0</v>
      </c>
      <c r="K70" s="69">
        <v>0</v>
      </c>
      <c r="L70" s="70">
        <v>0</v>
      </c>
      <c r="M70" s="72">
        <v>0</v>
      </c>
    </row>
    <row r="71" spans="1:13" x14ac:dyDescent="0.3">
      <c r="A71" s="58"/>
      <c r="B71" s="59">
        <v>0</v>
      </c>
      <c r="C71" s="60">
        <v>0</v>
      </c>
      <c r="D71" s="59">
        <v>0</v>
      </c>
      <c r="E71" s="60">
        <v>0</v>
      </c>
      <c r="F71" s="69">
        <v>0</v>
      </c>
      <c r="G71" s="69">
        <v>0</v>
      </c>
      <c r="H71" s="70">
        <v>0</v>
      </c>
      <c r="I71" s="71">
        <v>0</v>
      </c>
      <c r="J71" s="69">
        <v>0</v>
      </c>
      <c r="K71" s="69">
        <v>0</v>
      </c>
      <c r="L71" s="70">
        <v>0</v>
      </c>
      <c r="M71" s="72">
        <v>0</v>
      </c>
    </row>
    <row r="72" spans="1:13" x14ac:dyDescent="0.3">
      <c r="A72" s="58"/>
      <c r="B72" s="59">
        <v>0</v>
      </c>
      <c r="C72" s="60">
        <v>0</v>
      </c>
      <c r="D72" s="59">
        <v>0</v>
      </c>
      <c r="E72" s="60">
        <v>0</v>
      </c>
      <c r="F72" s="69">
        <v>0</v>
      </c>
      <c r="G72" s="69">
        <v>0</v>
      </c>
      <c r="H72" s="60">
        <v>0</v>
      </c>
      <c r="I72" s="60">
        <v>0</v>
      </c>
      <c r="J72" s="60">
        <v>0</v>
      </c>
      <c r="K72" s="60">
        <v>0</v>
      </c>
      <c r="L72" s="60">
        <v>0</v>
      </c>
      <c r="M72" s="72">
        <v>0</v>
      </c>
    </row>
    <row r="73" spans="1:13" x14ac:dyDescent="0.3">
      <c r="A73" s="58"/>
      <c r="B73" s="59">
        <v>0</v>
      </c>
      <c r="C73" s="60">
        <v>0</v>
      </c>
      <c r="D73" s="59">
        <v>0</v>
      </c>
      <c r="E73" s="76">
        <v>0</v>
      </c>
      <c r="F73" s="69">
        <v>0</v>
      </c>
      <c r="G73" s="69">
        <v>0</v>
      </c>
      <c r="H73" s="75">
        <v>0</v>
      </c>
      <c r="I73" s="76">
        <v>0</v>
      </c>
      <c r="J73" s="59">
        <v>0</v>
      </c>
      <c r="K73" s="59">
        <v>0</v>
      </c>
      <c r="L73" s="75">
        <v>0</v>
      </c>
      <c r="M73" s="84">
        <v>0</v>
      </c>
    </row>
    <row r="74" spans="1:13" x14ac:dyDescent="0.3">
      <c r="A74" s="58"/>
      <c r="B74" s="59">
        <v>0</v>
      </c>
      <c r="C74" s="60">
        <v>0</v>
      </c>
      <c r="D74" s="59">
        <v>0</v>
      </c>
      <c r="E74" s="60">
        <v>0</v>
      </c>
      <c r="F74" s="69">
        <v>0</v>
      </c>
      <c r="G74" s="69">
        <v>0</v>
      </c>
      <c r="H74" s="77">
        <v>0</v>
      </c>
      <c r="I74" s="60">
        <v>0</v>
      </c>
      <c r="J74" s="59">
        <v>0</v>
      </c>
      <c r="K74" s="59">
        <v>0</v>
      </c>
      <c r="L74" s="77">
        <v>0</v>
      </c>
      <c r="M74" s="85">
        <v>0</v>
      </c>
    </row>
    <row r="75" spans="1:13" x14ac:dyDescent="0.3">
      <c r="A75" s="58"/>
      <c r="B75" s="59">
        <v>0</v>
      </c>
      <c r="C75" s="60">
        <v>0</v>
      </c>
      <c r="D75" s="59">
        <v>0</v>
      </c>
      <c r="E75" s="60">
        <v>0</v>
      </c>
      <c r="F75" s="69">
        <v>0</v>
      </c>
      <c r="G75" s="69">
        <v>0</v>
      </c>
      <c r="H75" s="77">
        <v>0</v>
      </c>
      <c r="I75" s="60">
        <v>0</v>
      </c>
      <c r="J75" s="59">
        <v>0</v>
      </c>
      <c r="K75" s="59">
        <v>0</v>
      </c>
      <c r="L75" s="77">
        <v>0</v>
      </c>
      <c r="M75" s="85">
        <v>0</v>
      </c>
    </row>
    <row r="76" spans="1:13" x14ac:dyDescent="0.3">
      <c r="A76" s="58"/>
      <c r="B76" s="59">
        <v>0</v>
      </c>
      <c r="C76" s="60">
        <v>0</v>
      </c>
      <c r="D76" s="59">
        <v>0</v>
      </c>
      <c r="E76" s="60">
        <v>0</v>
      </c>
      <c r="F76" s="69">
        <v>0</v>
      </c>
      <c r="G76" s="69">
        <v>0</v>
      </c>
      <c r="H76" s="77">
        <v>0</v>
      </c>
      <c r="I76" s="60">
        <v>0</v>
      </c>
      <c r="J76" s="59">
        <v>0</v>
      </c>
      <c r="K76" s="59">
        <v>0</v>
      </c>
      <c r="L76" s="77">
        <v>0</v>
      </c>
      <c r="M76" s="85">
        <v>0</v>
      </c>
    </row>
    <row r="77" spans="1:13" x14ac:dyDescent="0.3">
      <c r="A77" s="58"/>
      <c r="B77" s="59">
        <v>0</v>
      </c>
      <c r="C77" s="60">
        <v>0</v>
      </c>
      <c r="D77" s="59">
        <v>0</v>
      </c>
      <c r="E77" s="60">
        <v>0</v>
      </c>
      <c r="F77" s="69">
        <v>0</v>
      </c>
      <c r="G77" s="69">
        <v>0</v>
      </c>
      <c r="H77" s="77">
        <v>0</v>
      </c>
      <c r="I77" s="60">
        <v>0</v>
      </c>
      <c r="J77" s="59">
        <v>0</v>
      </c>
      <c r="K77" s="59">
        <v>0</v>
      </c>
      <c r="L77" s="77">
        <v>0</v>
      </c>
      <c r="M77" s="85">
        <v>0</v>
      </c>
    </row>
    <row r="78" spans="1:13" x14ac:dyDescent="0.3">
      <c r="A78" s="58"/>
      <c r="B78" s="59">
        <v>0</v>
      </c>
      <c r="C78" s="60">
        <v>0</v>
      </c>
      <c r="D78" s="59">
        <v>0</v>
      </c>
      <c r="E78" s="60">
        <v>0</v>
      </c>
      <c r="F78" s="69">
        <v>0</v>
      </c>
      <c r="G78" s="69">
        <v>0</v>
      </c>
      <c r="H78" s="77">
        <v>0</v>
      </c>
      <c r="I78" s="60">
        <v>0</v>
      </c>
      <c r="J78" s="59">
        <v>0</v>
      </c>
      <c r="K78" s="59">
        <v>0</v>
      </c>
      <c r="L78" s="77">
        <v>0</v>
      </c>
      <c r="M78" s="85">
        <v>0</v>
      </c>
    </row>
    <row r="79" spans="1:13" x14ac:dyDescent="0.3">
      <c r="A79" s="58"/>
      <c r="B79" s="59">
        <v>0</v>
      </c>
      <c r="C79" s="60">
        <v>0</v>
      </c>
      <c r="D79" s="59">
        <v>0</v>
      </c>
      <c r="E79" s="60">
        <v>0</v>
      </c>
      <c r="F79" s="69">
        <v>0</v>
      </c>
      <c r="G79" s="69">
        <v>0</v>
      </c>
      <c r="H79" s="77">
        <v>0</v>
      </c>
      <c r="I79" s="60">
        <v>0</v>
      </c>
      <c r="J79" s="59">
        <v>0</v>
      </c>
      <c r="K79" s="59">
        <v>0</v>
      </c>
      <c r="L79" s="77">
        <v>0</v>
      </c>
      <c r="M79" s="85">
        <v>0</v>
      </c>
    </row>
    <row r="80" spans="1:13" x14ac:dyDescent="0.3">
      <c r="A80" s="58"/>
      <c r="B80" s="59">
        <v>0</v>
      </c>
      <c r="C80" s="60">
        <v>0</v>
      </c>
      <c r="D80" s="59">
        <v>0</v>
      </c>
      <c r="E80" s="60">
        <v>0</v>
      </c>
      <c r="F80" s="69">
        <v>0</v>
      </c>
      <c r="G80" s="69">
        <v>0</v>
      </c>
      <c r="H80" s="77">
        <v>0</v>
      </c>
      <c r="I80" s="60">
        <v>0</v>
      </c>
      <c r="J80" s="59">
        <v>0</v>
      </c>
      <c r="K80" s="59">
        <v>0</v>
      </c>
      <c r="L80" s="77">
        <v>0</v>
      </c>
      <c r="M80" s="85">
        <v>0</v>
      </c>
    </row>
    <row r="81" spans="1:13" x14ac:dyDescent="0.3">
      <c r="A81" s="58"/>
      <c r="B81" s="59">
        <v>0</v>
      </c>
      <c r="C81" s="60">
        <v>0</v>
      </c>
      <c r="D81" s="59">
        <v>0</v>
      </c>
      <c r="E81" s="60">
        <v>0</v>
      </c>
      <c r="F81" s="69">
        <v>0</v>
      </c>
      <c r="G81" s="69">
        <v>0</v>
      </c>
      <c r="H81" s="77">
        <v>0</v>
      </c>
      <c r="I81" s="60">
        <v>0</v>
      </c>
      <c r="J81" s="59">
        <v>0</v>
      </c>
      <c r="K81" s="59">
        <v>0</v>
      </c>
      <c r="L81" s="77">
        <v>0</v>
      </c>
      <c r="M81" s="85">
        <v>0</v>
      </c>
    </row>
    <row r="82" spans="1:13" x14ac:dyDescent="0.3">
      <c r="A82" s="58"/>
      <c r="B82" s="59">
        <v>0</v>
      </c>
      <c r="C82" s="60">
        <v>0</v>
      </c>
      <c r="D82" s="59">
        <v>0</v>
      </c>
      <c r="E82" s="60">
        <v>0</v>
      </c>
      <c r="F82" s="69">
        <v>0</v>
      </c>
      <c r="G82" s="69">
        <v>0</v>
      </c>
      <c r="H82" s="77">
        <v>0</v>
      </c>
      <c r="I82" s="60">
        <v>0</v>
      </c>
      <c r="J82" s="59">
        <v>0</v>
      </c>
      <c r="K82" s="59">
        <v>0</v>
      </c>
      <c r="L82" s="77">
        <v>0</v>
      </c>
      <c r="M82" s="85">
        <v>0</v>
      </c>
    </row>
    <row r="83" spans="1:13" x14ac:dyDescent="0.3">
      <c r="A83" s="58"/>
      <c r="B83" s="59">
        <v>0</v>
      </c>
      <c r="C83" s="60">
        <v>0</v>
      </c>
      <c r="D83" s="59">
        <v>0</v>
      </c>
      <c r="E83" s="60">
        <v>0</v>
      </c>
      <c r="F83" s="69">
        <v>0</v>
      </c>
      <c r="G83" s="69">
        <v>0</v>
      </c>
      <c r="H83" s="77">
        <v>0</v>
      </c>
      <c r="I83" s="60">
        <v>0</v>
      </c>
      <c r="J83" s="59">
        <v>0</v>
      </c>
      <c r="K83" s="59">
        <v>0</v>
      </c>
      <c r="L83" s="77">
        <v>0</v>
      </c>
      <c r="M83" s="85">
        <v>0</v>
      </c>
    </row>
    <row r="84" spans="1:13" x14ac:dyDescent="0.3">
      <c r="A84" s="58"/>
      <c r="B84" s="59">
        <v>0</v>
      </c>
      <c r="C84" s="60">
        <v>0</v>
      </c>
      <c r="D84" s="59">
        <v>0</v>
      </c>
      <c r="E84" s="60">
        <v>0</v>
      </c>
      <c r="F84" s="69">
        <v>0</v>
      </c>
      <c r="G84" s="69">
        <v>0</v>
      </c>
      <c r="H84" s="77">
        <v>0</v>
      </c>
      <c r="I84" s="60">
        <v>0</v>
      </c>
      <c r="J84" s="59">
        <v>0</v>
      </c>
      <c r="K84" s="59">
        <v>0</v>
      </c>
      <c r="L84" s="77">
        <v>0</v>
      </c>
      <c r="M84" s="85">
        <v>0</v>
      </c>
    </row>
    <row r="85" spans="1:13" x14ac:dyDescent="0.3">
      <c r="A85" s="58"/>
      <c r="B85" s="59">
        <v>0</v>
      </c>
      <c r="C85" s="60">
        <v>0</v>
      </c>
      <c r="D85" s="77">
        <v>0</v>
      </c>
      <c r="E85" s="60">
        <v>0</v>
      </c>
      <c r="F85" s="69">
        <v>0</v>
      </c>
      <c r="G85" s="69">
        <v>0</v>
      </c>
      <c r="H85" s="77">
        <v>0</v>
      </c>
      <c r="I85" s="60">
        <v>0</v>
      </c>
      <c r="J85" s="59">
        <v>0</v>
      </c>
      <c r="K85" s="59">
        <v>0</v>
      </c>
      <c r="L85" s="77">
        <v>0</v>
      </c>
      <c r="M85" s="85">
        <v>0</v>
      </c>
    </row>
    <row r="86" spans="1:13" x14ac:dyDescent="0.3">
      <c r="A86" s="58"/>
      <c r="B86" s="59">
        <v>0</v>
      </c>
      <c r="C86" s="60">
        <v>0</v>
      </c>
      <c r="D86" s="77">
        <v>0</v>
      </c>
      <c r="E86" s="60">
        <v>0</v>
      </c>
      <c r="F86" s="69">
        <v>0</v>
      </c>
      <c r="G86" s="69">
        <v>0</v>
      </c>
      <c r="H86" s="77">
        <v>0</v>
      </c>
      <c r="I86" s="60">
        <v>0</v>
      </c>
      <c r="J86" s="59">
        <v>0</v>
      </c>
      <c r="K86" s="59">
        <v>0</v>
      </c>
      <c r="L86" s="77">
        <v>0</v>
      </c>
      <c r="M86" s="85">
        <v>0</v>
      </c>
    </row>
    <row r="87" spans="1:13" x14ac:dyDescent="0.3">
      <c r="A87" s="58"/>
      <c r="B87" s="59">
        <v>0</v>
      </c>
      <c r="C87" s="60">
        <v>0</v>
      </c>
      <c r="D87" s="77">
        <v>0</v>
      </c>
      <c r="E87" s="60">
        <v>0</v>
      </c>
      <c r="F87" s="69">
        <v>0</v>
      </c>
      <c r="G87" s="69">
        <v>0</v>
      </c>
      <c r="H87" s="77">
        <v>0</v>
      </c>
      <c r="I87" s="60">
        <v>0</v>
      </c>
      <c r="J87" s="59">
        <v>0</v>
      </c>
      <c r="K87" s="59">
        <v>0</v>
      </c>
      <c r="L87" s="77">
        <v>0</v>
      </c>
      <c r="M87" s="85">
        <v>0</v>
      </c>
    </row>
    <row r="88" spans="1:13" x14ac:dyDescent="0.3">
      <c r="A88" s="58"/>
      <c r="B88" s="59">
        <v>0</v>
      </c>
      <c r="C88" s="60">
        <v>0</v>
      </c>
      <c r="D88" s="77">
        <v>0</v>
      </c>
      <c r="E88" s="60">
        <v>0</v>
      </c>
      <c r="F88" s="69">
        <v>0</v>
      </c>
      <c r="G88" s="69">
        <v>0</v>
      </c>
      <c r="H88" s="77">
        <v>0</v>
      </c>
      <c r="I88" s="60">
        <v>0</v>
      </c>
      <c r="J88" s="59">
        <v>0</v>
      </c>
      <c r="K88" s="59">
        <v>0</v>
      </c>
      <c r="L88" s="77">
        <v>0</v>
      </c>
      <c r="M88" s="85">
        <v>0</v>
      </c>
    </row>
    <row r="89" spans="1:13" x14ac:dyDescent="0.3">
      <c r="A89" s="58"/>
      <c r="B89" s="59">
        <v>0</v>
      </c>
      <c r="C89" s="60">
        <v>0</v>
      </c>
      <c r="D89" s="77">
        <v>0</v>
      </c>
      <c r="E89" s="60">
        <v>0</v>
      </c>
      <c r="F89" s="69">
        <v>0</v>
      </c>
      <c r="G89" s="69">
        <v>0</v>
      </c>
      <c r="H89" s="77">
        <v>0</v>
      </c>
      <c r="I89" s="60">
        <v>0</v>
      </c>
      <c r="J89" s="59">
        <v>0</v>
      </c>
      <c r="K89" s="59">
        <v>0</v>
      </c>
      <c r="L89" s="77">
        <v>0</v>
      </c>
      <c r="M89" s="85">
        <v>0</v>
      </c>
    </row>
    <row r="90" spans="1:13" x14ac:dyDescent="0.3">
      <c r="A90" s="58"/>
      <c r="B90" s="59">
        <v>0</v>
      </c>
      <c r="C90" s="60">
        <v>0</v>
      </c>
      <c r="D90" s="77">
        <v>0</v>
      </c>
      <c r="E90" s="60">
        <v>0</v>
      </c>
      <c r="F90" s="69">
        <v>0</v>
      </c>
      <c r="G90" s="69">
        <v>0</v>
      </c>
      <c r="H90" s="77">
        <v>0</v>
      </c>
      <c r="I90" s="60">
        <v>0</v>
      </c>
      <c r="J90" s="59">
        <v>0</v>
      </c>
      <c r="K90" s="59">
        <v>0</v>
      </c>
      <c r="L90" s="77">
        <v>0</v>
      </c>
      <c r="M90" s="85">
        <v>0</v>
      </c>
    </row>
    <row r="91" spans="1:13" x14ac:dyDescent="0.3">
      <c r="A91" s="58"/>
      <c r="B91" s="59">
        <v>0</v>
      </c>
      <c r="C91" s="60">
        <v>0</v>
      </c>
      <c r="D91" s="77">
        <v>0</v>
      </c>
      <c r="E91" s="60">
        <v>0</v>
      </c>
      <c r="F91" s="69">
        <v>0</v>
      </c>
      <c r="G91" s="69">
        <v>0</v>
      </c>
      <c r="H91" s="77">
        <v>0</v>
      </c>
      <c r="I91" s="60">
        <v>0</v>
      </c>
      <c r="J91" s="59">
        <v>0</v>
      </c>
      <c r="K91" s="59">
        <v>0</v>
      </c>
      <c r="L91" s="77">
        <v>0</v>
      </c>
      <c r="M91" s="85">
        <v>0</v>
      </c>
    </row>
    <row r="92" spans="1:13" x14ac:dyDescent="0.3">
      <c r="A92" s="58"/>
      <c r="B92" s="59">
        <v>0</v>
      </c>
      <c r="C92" s="60">
        <v>0</v>
      </c>
      <c r="D92" s="77">
        <v>0</v>
      </c>
      <c r="E92" s="60">
        <v>0</v>
      </c>
      <c r="F92" s="69">
        <v>0</v>
      </c>
      <c r="G92" s="69">
        <v>0</v>
      </c>
      <c r="H92" s="77">
        <v>0</v>
      </c>
      <c r="I92" s="60">
        <v>0</v>
      </c>
      <c r="J92" s="59">
        <v>0</v>
      </c>
      <c r="K92" s="59">
        <v>0</v>
      </c>
      <c r="L92" s="77">
        <v>0</v>
      </c>
      <c r="M92" s="85">
        <v>0</v>
      </c>
    </row>
    <row r="93" spans="1:13" x14ac:dyDescent="0.3">
      <c r="A93" s="58"/>
      <c r="B93" s="59">
        <v>0</v>
      </c>
      <c r="C93" s="60">
        <v>0</v>
      </c>
      <c r="D93" s="77">
        <v>0</v>
      </c>
      <c r="E93" s="60">
        <v>0</v>
      </c>
      <c r="F93" s="69">
        <v>0</v>
      </c>
      <c r="G93" s="69">
        <v>0</v>
      </c>
      <c r="H93" s="77">
        <v>0</v>
      </c>
      <c r="I93" s="60">
        <v>0</v>
      </c>
      <c r="J93" s="59">
        <v>0</v>
      </c>
      <c r="K93" s="59">
        <v>0</v>
      </c>
      <c r="L93" s="77">
        <v>0</v>
      </c>
      <c r="M93" s="85">
        <v>0</v>
      </c>
    </row>
    <row r="94" spans="1:13" x14ac:dyDescent="0.3">
      <c r="A94" s="58"/>
      <c r="B94" s="59">
        <v>0</v>
      </c>
      <c r="C94" s="60">
        <v>0</v>
      </c>
      <c r="D94" s="77">
        <v>0</v>
      </c>
      <c r="E94" s="60">
        <v>0</v>
      </c>
      <c r="F94" s="69">
        <v>0</v>
      </c>
      <c r="G94" s="69">
        <v>0</v>
      </c>
      <c r="H94" s="77">
        <v>0</v>
      </c>
      <c r="I94" s="60">
        <v>0</v>
      </c>
      <c r="J94" s="59">
        <v>0</v>
      </c>
      <c r="K94" s="59">
        <v>0</v>
      </c>
      <c r="L94" s="77">
        <v>0</v>
      </c>
      <c r="M94" s="85">
        <v>0</v>
      </c>
    </row>
    <row r="95" spans="1:13" x14ac:dyDescent="0.3">
      <c r="A95" s="58"/>
      <c r="B95" s="59">
        <v>0</v>
      </c>
      <c r="C95" s="60">
        <v>0</v>
      </c>
      <c r="D95" s="77">
        <v>0</v>
      </c>
      <c r="E95" s="60">
        <v>0</v>
      </c>
      <c r="F95" s="69">
        <v>0</v>
      </c>
      <c r="G95" s="69">
        <v>0</v>
      </c>
      <c r="H95" s="77">
        <v>0</v>
      </c>
      <c r="I95" s="60">
        <v>0</v>
      </c>
      <c r="J95" s="59">
        <v>0</v>
      </c>
      <c r="K95" s="59">
        <v>0</v>
      </c>
      <c r="L95" s="77">
        <v>0</v>
      </c>
      <c r="M95" s="85">
        <v>0</v>
      </c>
    </row>
    <row r="96" spans="1:13" x14ac:dyDescent="0.3">
      <c r="A96" s="58"/>
      <c r="B96" s="59">
        <v>0</v>
      </c>
      <c r="C96" s="60">
        <v>0</v>
      </c>
      <c r="D96" s="77">
        <v>0</v>
      </c>
      <c r="E96" s="60">
        <v>0</v>
      </c>
      <c r="F96" s="69">
        <v>0</v>
      </c>
      <c r="G96" s="69">
        <v>0</v>
      </c>
      <c r="H96" s="77">
        <v>0</v>
      </c>
      <c r="I96" s="60">
        <v>0</v>
      </c>
      <c r="J96" s="59">
        <v>0</v>
      </c>
      <c r="K96" s="59">
        <v>0</v>
      </c>
      <c r="L96" s="77">
        <v>0</v>
      </c>
      <c r="M96" s="85">
        <v>0</v>
      </c>
    </row>
    <row r="97" spans="1:13" x14ac:dyDescent="0.3">
      <c r="A97" s="58"/>
      <c r="B97" s="59">
        <v>0</v>
      </c>
      <c r="C97" s="60">
        <v>0</v>
      </c>
      <c r="D97" s="77">
        <v>0</v>
      </c>
      <c r="E97" s="60">
        <v>0</v>
      </c>
      <c r="F97" s="69">
        <v>0</v>
      </c>
      <c r="G97" s="69">
        <v>0</v>
      </c>
      <c r="H97" s="77">
        <v>0</v>
      </c>
      <c r="I97" s="60">
        <v>0</v>
      </c>
      <c r="J97" s="59">
        <v>0</v>
      </c>
      <c r="K97" s="59">
        <v>0</v>
      </c>
      <c r="L97" s="77">
        <v>0</v>
      </c>
      <c r="M97" s="85">
        <v>0</v>
      </c>
    </row>
    <row r="98" spans="1:13" x14ac:dyDescent="0.3">
      <c r="A98" s="58"/>
      <c r="B98" s="59">
        <v>0</v>
      </c>
      <c r="C98" s="60">
        <v>0</v>
      </c>
      <c r="D98" s="77">
        <v>0</v>
      </c>
      <c r="E98" s="60">
        <v>0</v>
      </c>
      <c r="F98" s="69">
        <v>0</v>
      </c>
      <c r="G98" s="69">
        <v>0</v>
      </c>
      <c r="H98" s="77">
        <v>0</v>
      </c>
      <c r="I98" s="60">
        <v>0</v>
      </c>
      <c r="J98" s="59">
        <v>0</v>
      </c>
      <c r="K98" s="59">
        <v>0</v>
      </c>
      <c r="L98" s="77">
        <v>0</v>
      </c>
      <c r="M98" s="85">
        <v>0</v>
      </c>
    </row>
    <row r="99" spans="1:13" x14ac:dyDescent="0.3">
      <c r="A99" s="58"/>
      <c r="B99" s="59">
        <v>0</v>
      </c>
      <c r="C99" s="60">
        <v>0</v>
      </c>
      <c r="D99" s="77">
        <v>0</v>
      </c>
      <c r="E99" s="60">
        <v>0</v>
      </c>
      <c r="F99" s="69">
        <v>0</v>
      </c>
      <c r="G99" s="69">
        <v>0</v>
      </c>
      <c r="H99" s="77">
        <v>0</v>
      </c>
      <c r="I99" s="60">
        <v>0</v>
      </c>
      <c r="J99" s="59">
        <v>0</v>
      </c>
      <c r="K99" s="59">
        <v>0</v>
      </c>
      <c r="L99" s="77">
        <v>0</v>
      </c>
      <c r="M99" s="85">
        <v>0</v>
      </c>
    </row>
    <row r="100" spans="1:13" x14ac:dyDescent="0.3">
      <c r="A100" s="58"/>
      <c r="B100" s="59">
        <v>0</v>
      </c>
      <c r="C100" s="60">
        <v>0</v>
      </c>
      <c r="D100" s="77">
        <v>0</v>
      </c>
      <c r="E100" s="60">
        <v>0</v>
      </c>
      <c r="F100" s="69">
        <v>0</v>
      </c>
      <c r="G100" s="69">
        <v>0</v>
      </c>
      <c r="H100" s="77">
        <v>0</v>
      </c>
      <c r="I100" s="60">
        <v>0</v>
      </c>
      <c r="J100" s="59">
        <v>0</v>
      </c>
      <c r="K100" s="59">
        <v>0</v>
      </c>
      <c r="L100" s="77">
        <v>0</v>
      </c>
      <c r="M100" s="85">
        <v>0</v>
      </c>
    </row>
    <row r="101" spans="1:13" x14ac:dyDescent="0.3">
      <c r="A101" s="58"/>
      <c r="B101" s="59">
        <v>0</v>
      </c>
      <c r="C101" s="60">
        <v>0</v>
      </c>
      <c r="D101" s="77">
        <v>0</v>
      </c>
      <c r="E101" s="60">
        <v>0</v>
      </c>
      <c r="F101" s="69">
        <v>0</v>
      </c>
      <c r="G101" s="69">
        <v>0</v>
      </c>
      <c r="H101" s="77">
        <v>0</v>
      </c>
      <c r="I101" s="60">
        <v>0</v>
      </c>
      <c r="J101" s="59">
        <v>0</v>
      </c>
      <c r="K101" s="59">
        <v>0</v>
      </c>
      <c r="L101" s="77">
        <v>0</v>
      </c>
      <c r="M101" s="85">
        <v>0</v>
      </c>
    </row>
    <row r="102" spans="1:13" x14ac:dyDescent="0.3">
      <c r="A102" s="58"/>
      <c r="B102" s="59">
        <v>0</v>
      </c>
      <c r="C102" s="60">
        <v>0</v>
      </c>
      <c r="D102" s="77">
        <v>0</v>
      </c>
      <c r="E102" s="60">
        <v>0</v>
      </c>
      <c r="F102" s="69">
        <v>0</v>
      </c>
      <c r="G102" s="69">
        <v>0</v>
      </c>
      <c r="H102" s="77">
        <v>0</v>
      </c>
      <c r="I102" s="60">
        <v>0</v>
      </c>
      <c r="J102" s="59">
        <v>0</v>
      </c>
      <c r="K102" s="59">
        <v>0</v>
      </c>
      <c r="L102" s="77">
        <v>0</v>
      </c>
      <c r="M102" s="85">
        <v>0</v>
      </c>
    </row>
    <row r="103" spans="1:13" x14ac:dyDescent="0.3">
      <c r="A103" s="58"/>
      <c r="B103" s="59">
        <v>0</v>
      </c>
      <c r="C103" s="60">
        <v>0</v>
      </c>
      <c r="D103" s="77">
        <v>0</v>
      </c>
      <c r="E103" s="60">
        <v>0</v>
      </c>
      <c r="F103" s="69">
        <v>0</v>
      </c>
      <c r="G103" s="59">
        <v>0</v>
      </c>
      <c r="H103" s="77">
        <v>0</v>
      </c>
      <c r="I103" s="60">
        <v>0</v>
      </c>
      <c r="J103" s="59">
        <v>0</v>
      </c>
      <c r="K103" s="55">
        <v>0</v>
      </c>
      <c r="L103" s="77">
        <v>0</v>
      </c>
      <c r="M103" s="85">
        <v>0</v>
      </c>
    </row>
    <row r="104" spans="1:13" x14ac:dyDescent="0.3">
      <c r="A104" s="58"/>
      <c r="B104" s="59">
        <v>0</v>
      </c>
      <c r="C104" s="60">
        <v>0</v>
      </c>
      <c r="D104" s="77">
        <v>0</v>
      </c>
      <c r="E104" s="60">
        <v>0</v>
      </c>
      <c r="F104" s="69">
        <v>0</v>
      </c>
      <c r="G104" s="59">
        <v>0</v>
      </c>
      <c r="H104" s="80">
        <v>0</v>
      </c>
      <c r="I104" s="81">
        <v>0</v>
      </c>
      <c r="J104" s="73">
        <v>0</v>
      </c>
      <c r="K104" s="55">
        <v>0</v>
      </c>
      <c r="L104" s="77">
        <v>0</v>
      </c>
      <c r="M104" s="85">
        <v>0</v>
      </c>
    </row>
    <row r="105" spans="1:13" x14ac:dyDescent="0.3">
      <c r="A105" s="58"/>
      <c r="B105" s="59">
        <v>0</v>
      </c>
      <c r="C105" s="60">
        <v>0</v>
      </c>
      <c r="D105" s="77">
        <v>0</v>
      </c>
      <c r="E105" s="60">
        <v>0</v>
      </c>
      <c r="F105" s="69">
        <v>0</v>
      </c>
      <c r="G105" s="59">
        <v>0</v>
      </c>
      <c r="H105" s="80">
        <v>0</v>
      </c>
      <c r="I105" s="81">
        <v>0</v>
      </c>
      <c r="J105" s="73">
        <v>0</v>
      </c>
      <c r="K105" s="55">
        <v>0</v>
      </c>
      <c r="L105" s="80">
        <v>0</v>
      </c>
      <c r="M105" s="85">
        <v>0</v>
      </c>
    </row>
    <row r="106" spans="1:13" ht="21" thickBot="1" x14ac:dyDescent="0.35">
      <c r="A106" s="58"/>
      <c r="B106" s="59">
        <v>0</v>
      </c>
      <c r="C106" s="60">
        <v>0</v>
      </c>
      <c r="D106" s="78">
        <v>0</v>
      </c>
      <c r="E106" s="79">
        <v>0</v>
      </c>
      <c r="F106" s="59">
        <v>0</v>
      </c>
      <c r="G106" s="59">
        <v>0</v>
      </c>
      <c r="H106" s="82">
        <v>0</v>
      </c>
      <c r="I106" s="83">
        <v>0</v>
      </c>
      <c r="J106" s="73">
        <v>0</v>
      </c>
      <c r="K106" s="55">
        <v>0</v>
      </c>
      <c r="L106" s="82">
        <v>0</v>
      </c>
      <c r="M106" s="86">
        <v>0</v>
      </c>
    </row>
    <row r="107" spans="1:13" ht="22" thickTop="1" thickBot="1" x14ac:dyDescent="0.35">
      <c r="A107" s="62" t="s">
        <v>32</v>
      </c>
      <c r="B107" s="63">
        <f t="shared" ref="B107:M107" si="14">0+SUM(B61:B106)</f>
        <v>0</v>
      </c>
      <c r="C107" s="63">
        <f t="shared" si="14"/>
        <v>0</v>
      </c>
      <c r="D107" s="63">
        <f t="shared" si="14"/>
        <v>0</v>
      </c>
      <c r="E107" s="63">
        <f t="shared" si="14"/>
        <v>0</v>
      </c>
      <c r="F107" s="63">
        <f t="shared" si="14"/>
        <v>0</v>
      </c>
      <c r="G107" s="63">
        <f t="shared" si="14"/>
        <v>0</v>
      </c>
      <c r="H107" s="63">
        <f t="shared" si="14"/>
        <v>0</v>
      </c>
      <c r="I107" s="63">
        <f t="shared" si="14"/>
        <v>0</v>
      </c>
      <c r="J107" s="63">
        <f t="shared" si="14"/>
        <v>0</v>
      </c>
      <c r="K107" s="63">
        <f t="shared" si="14"/>
        <v>0</v>
      </c>
      <c r="L107" s="63">
        <f t="shared" si="14"/>
        <v>0</v>
      </c>
      <c r="M107" s="63">
        <f t="shared" si="14"/>
        <v>0</v>
      </c>
    </row>
    <row r="108" spans="1:13" ht="21" thickTop="1" x14ac:dyDescent="0.3">
      <c r="A108" s="57"/>
      <c r="B108" s="57" t="s">
        <v>34</v>
      </c>
      <c r="C108" s="57" t="s">
        <v>36</v>
      </c>
      <c r="D108" s="57" t="s">
        <v>34</v>
      </c>
      <c r="E108" s="57" t="s">
        <v>36</v>
      </c>
      <c r="F108" s="57" t="s">
        <v>34</v>
      </c>
      <c r="G108" s="57" t="s">
        <v>36</v>
      </c>
      <c r="H108" s="57" t="s">
        <v>34</v>
      </c>
      <c r="I108" s="57" t="s">
        <v>36</v>
      </c>
      <c r="J108" s="57" t="s">
        <v>34</v>
      </c>
      <c r="K108" s="57" t="s">
        <v>36</v>
      </c>
      <c r="L108" s="57" t="s">
        <v>34</v>
      </c>
      <c r="M108" s="57" t="s">
        <v>36</v>
      </c>
    </row>
    <row r="109" spans="1:13" x14ac:dyDescent="0.3">
      <c r="A109" s="64" t="s">
        <v>41</v>
      </c>
      <c r="B109" s="65">
        <f t="shared" ref="B109:M109" si="15">0%+AVERAGE(B61:B106)</f>
        <v>0</v>
      </c>
      <c r="C109" s="65">
        <f t="shared" si="15"/>
        <v>0</v>
      </c>
      <c r="D109" s="65">
        <f t="shared" si="15"/>
        <v>0</v>
      </c>
      <c r="E109" s="65">
        <f t="shared" si="15"/>
        <v>0</v>
      </c>
      <c r="F109" s="65">
        <f t="shared" si="15"/>
        <v>0</v>
      </c>
      <c r="G109" s="65">
        <f t="shared" si="15"/>
        <v>0</v>
      </c>
      <c r="H109" s="65">
        <f t="shared" si="15"/>
        <v>0</v>
      </c>
      <c r="I109" s="65">
        <f t="shared" si="15"/>
        <v>0</v>
      </c>
      <c r="J109" s="65">
        <f t="shared" si="15"/>
        <v>0</v>
      </c>
      <c r="K109" s="65">
        <f t="shared" si="15"/>
        <v>0</v>
      </c>
      <c r="L109" s="65">
        <f t="shared" si="15"/>
        <v>0</v>
      </c>
      <c r="M109" s="65">
        <f t="shared" si="15"/>
        <v>0</v>
      </c>
    </row>
    <row r="110" spans="1:13" x14ac:dyDescent="0.3">
      <c r="A110" s="55" t="s">
        <v>43</v>
      </c>
      <c r="B110" s="119">
        <f>0%+SUM(B109,C109)</f>
        <v>0</v>
      </c>
      <c r="C110" s="120"/>
      <c r="D110" s="119">
        <f>0%+SUM(D109,E109)</f>
        <v>0</v>
      </c>
      <c r="E110" s="120"/>
      <c r="F110" s="119">
        <f>0%+SUM(F109,G109)</f>
        <v>0</v>
      </c>
      <c r="G110" s="120"/>
      <c r="H110" s="119">
        <f>0%+SUM(H109,I109)</f>
        <v>0</v>
      </c>
      <c r="I110" s="120"/>
      <c r="J110" s="119">
        <f>0%+SUM(J109,K109)</f>
        <v>0</v>
      </c>
      <c r="K110" s="120"/>
      <c r="L110" s="119">
        <f>0%+SUM(L109,M109)</f>
        <v>0</v>
      </c>
      <c r="M110" s="120"/>
    </row>
    <row r="112" spans="1:13" x14ac:dyDescent="0.3">
      <c r="A112" t="s">
        <v>109</v>
      </c>
      <c r="B112">
        <f>SUM(B3:B25,B33:B53,B61:B106)</f>
        <v>0</v>
      </c>
      <c r="C112">
        <f t="shared" ref="C112:M112" si="16">SUM(C3:C25,C33:C53,C61:C106)</f>
        <v>0</v>
      </c>
      <c r="D112">
        <f t="shared" si="16"/>
        <v>0</v>
      </c>
      <c r="E112">
        <f t="shared" si="16"/>
        <v>0</v>
      </c>
      <c r="F112">
        <f t="shared" si="16"/>
        <v>0</v>
      </c>
      <c r="G112">
        <f t="shared" si="16"/>
        <v>0</v>
      </c>
      <c r="H112">
        <f t="shared" si="16"/>
        <v>0</v>
      </c>
      <c r="I112">
        <f t="shared" si="16"/>
        <v>0</v>
      </c>
      <c r="J112">
        <f t="shared" si="16"/>
        <v>0</v>
      </c>
      <c r="K112">
        <f t="shared" si="16"/>
        <v>0</v>
      </c>
      <c r="L112">
        <f t="shared" si="16"/>
        <v>0</v>
      </c>
      <c r="M112">
        <f t="shared" si="16"/>
        <v>0</v>
      </c>
    </row>
    <row r="113" spans="1:13" x14ac:dyDescent="0.3">
      <c r="A113" t="s">
        <v>110</v>
      </c>
      <c r="B113" s="42">
        <f>AVERAGE(B3:B25,B33:B53,B61:B106)</f>
        <v>0</v>
      </c>
      <c r="C113" s="42">
        <f t="shared" ref="C113:M113" si="17">AVERAGE(C3:C25,C33:C53,C61:C106)</f>
        <v>0</v>
      </c>
      <c r="D113" s="42">
        <f t="shared" si="17"/>
        <v>0</v>
      </c>
      <c r="E113" s="42">
        <f t="shared" si="17"/>
        <v>0</v>
      </c>
      <c r="F113" s="42">
        <f t="shared" si="17"/>
        <v>0</v>
      </c>
      <c r="G113" s="42">
        <f t="shared" si="17"/>
        <v>0</v>
      </c>
      <c r="H113" s="42">
        <f t="shared" si="17"/>
        <v>0</v>
      </c>
      <c r="I113" s="42">
        <f t="shared" si="17"/>
        <v>0</v>
      </c>
      <c r="J113" s="42">
        <f t="shared" si="17"/>
        <v>0</v>
      </c>
      <c r="K113" s="42">
        <f t="shared" si="17"/>
        <v>0</v>
      </c>
      <c r="L113" s="42">
        <f t="shared" si="17"/>
        <v>0</v>
      </c>
      <c r="M113" s="42">
        <f t="shared" si="17"/>
        <v>0</v>
      </c>
    </row>
    <row r="114" spans="1:13" x14ac:dyDescent="0.3">
      <c r="A114" t="s">
        <v>111</v>
      </c>
      <c r="B114" s="42">
        <f>SUM(B113:C113)</f>
        <v>0</v>
      </c>
      <c r="D114" s="42">
        <f>SUM(D113:E113)</f>
        <v>0</v>
      </c>
      <c r="F114" s="42">
        <f>SUM(F113:G113)</f>
        <v>0</v>
      </c>
      <c r="H114" s="42">
        <f>SUM(H113:I113)</f>
        <v>0</v>
      </c>
      <c r="J114" s="42">
        <f>SUM(J113:K113)</f>
        <v>0</v>
      </c>
    </row>
  </sheetData>
  <mergeCells count="39">
    <mergeCell ref="L29:M29"/>
    <mergeCell ref="B1:M1"/>
    <mergeCell ref="B2:C2"/>
    <mergeCell ref="D2:E2"/>
    <mergeCell ref="F2:G2"/>
    <mergeCell ref="H2:I2"/>
    <mergeCell ref="J2:K2"/>
    <mergeCell ref="L2:M2"/>
    <mergeCell ref="B29:C29"/>
    <mergeCell ref="D29:E29"/>
    <mergeCell ref="F29:G29"/>
    <mergeCell ref="H29:I29"/>
    <mergeCell ref="J29:K29"/>
    <mergeCell ref="L57:M57"/>
    <mergeCell ref="B31:M31"/>
    <mergeCell ref="B32:C32"/>
    <mergeCell ref="D32:E32"/>
    <mergeCell ref="F32:G32"/>
    <mergeCell ref="H32:I32"/>
    <mergeCell ref="J32:K32"/>
    <mergeCell ref="L32:M32"/>
    <mergeCell ref="B57:C57"/>
    <mergeCell ref="D57:E57"/>
    <mergeCell ref="F57:G57"/>
    <mergeCell ref="H57:I57"/>
    <mergeCell ref="J57:K57"/>
    <mergeCell ref="L110:M110"/>
    <mergeCell ref="B59:M59"/>
    <mergeCell ref="B60:C60"/>
    <mergeCell ref="D60:E60"/>
    <mergeCell ref="F60:G60"/>
    <mergeCell ref="H60:I60"/>
    <mergeCell ref="J60:K60"/>
    <mergeCell ref="L60:M60"/>
    <mergeCell ref="B110:C110"/>
    <mergeCell ref="D110:E110"/>
    <mergeCell ref="F110:G110"/>
    <mergeCell ref="H110:I110"/>
    <mergeCell ref="J110:K110"/>
  </mergeCells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octopubプロジェクト</vt:lpstr>
      <vt:lpstr>ダミーテンプレ</vt:lpstr>
      <vt:lpstr>ダミー2テンプレ</vt:lpstr>
      <vt:lpstr>where2help</vt:lpstr>
      <vt:lpstr>coderdojo.jp</vt:lpstr>
      <vt:lpstr>poly</vt:lpstr>
      <vt:lpstr>hackweek</vt:lpstr>
      <vt:lpstr>yacs</vt:lpstr>
      <vt:lpstr>テンプレ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2017-11-02T07:19:33Z</dcterms:created>
  <dcterms:modified xsi:type="dcterms:W3CDTF">2018-01-17T06:33:41Z</dcterms:modified>
</cp:coreProperties>
</file>